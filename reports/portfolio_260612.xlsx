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eoh\SynologyDrive_ludwizia\MyInvestments\"/>
    </mc:Choice>
  </mc:AlternateContent>
  <xr:revisionPtr revIDLastSave="0" documentId="13_ncr:1_{DA14DC39-8855-4DDC-AE47-C2DB40B98B90}" xr6:coauthVersionLast="47" xr6:coauthVersionMax="47" xr10:uidLastSave="{00000000-0000-0000-0000-000000000000}"/>
  <bookViews>
    <workbookView xWindow="38290" yWindow="-110" windowWidth="38620" windowHeight="21820" tabRatio="661" activeTab="1" xr2:uid="{00000000-000D-0000-FFFF-FFFF00000000}"/>
  </bookViews>
  <sheets>
    <sheet name="Assets" sheetId="1" r:id="rId1"/>
    <sheet name="CMA" sheetId="2" r:id="rId2"/>
    <sheet name="개인연금" sheetId="3" r:id="rId3"/>
    <sheet name="퇴직연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2" l="1"/>
  <c r="F27" i="4"/>
  <c r="F26" i="4"/>
  <c r="G26" i="4" s="1"/>
  <c r="E23" i="4"/>
  <c r="E13" i="4"/>
  <c r="E12" i="4"/>
  <c r="D12" i="4"/>
  <c r="D13" i="4" s="1"/>
  <c r="F13" i="4" s="1"/>
  <c r="F12" i="4" s="1"/>
  <c r="F10" i="4"/>
  <c r="D5" i="1" s="1"/>
  <c r="E10" i="4"/>
  <c r="D10" i="4"/>
  <c r="F5" i="4"/>
  <c r="F27" i="3"/>
  <c r="G27" i="3" s="1"/>
  <c r="C23" i="1" s="1"/>
  <c r="F26" i="3"/>
  <c r="G26" i="3" s="1"/>
  <c r="E23" i="3"/>
  <c r="E12" i="3"/>
  <c r="E13" i="3" s="1"/>
  <c r="D12" i="3"/>
  <c r="E10" i="3"/>
  <c r="D10" i="3"/>
  <c r="F10" i="3" s="1"/>
  <c r="D4" i="1" s="1"/>
  <c r="F5" i="3"/>
  <c r="I27" i="2"/>
  <c r="I26" i="2"/>
  <c r="J27" i="2" s="1"/>
  <c r="H12" i="2"/>
  <c r="F12" i="2"/>
  <c r="E12" i="2"/>
  <c r="D12" i="2"/>
  <c r="D13" i="2" s="1"/>
  <c r="H10" i="2"/>
  <c r="G10" i="2"/>
  <c r="F10" i="2"/>
  <c r="E10" i="2"/>
  <c r="D10" i="2"/>
  <c r="I5" i="2"/>
  <c r="C8" i="1"/>
  <c r="I10" i="2" l="1"/>
  <c r="D3" i="1" s="1"/>
  <c r="C14" i="1" s="1"/>
  <c r="E13" i="2"/>
  <c r="D13" i="3"/>
  <c r="H13" i="2"/>
  <c r="F13" i="2"/>
  <c r="F13" i="3"/>
  <c r="F12" i="3" s="1"/>
  <c r="H4" i="1"/>
  <c r="C4" i="1" s="1"/>
  <c r="C22" i="1"/>
  <c r="C20" i="1" s="1"/>
  <c r="H5" i="1"/>
  <c r="C5" i="1" s="1"/>
  <c r="G13" i="2"/>
  <c r="I13" i="2" s="1"/>
  <c r="I12" i="2" l="1"/>
  <c r="H3" i="1"/>
  <c r="E7" i="3"/>
  <c r="D7" i="3"/>
  <c r="E7" i="4"/>
  <c r="D7" i="4"/>
  <c r="E5" i="1"/>
  <c r="E4" i="1"/>
  <c r="D15" i="4" l="1"/>
  <c r="D14" i="4"/>
  <c r="F14" i="4" s="1"/>
  <c r="F7" i="4"/>
  <c r="F15" i="4" s="1"/>
  <c r="E15" i="3"/>
  <c r="E14" i="3"/>
  <c r="F7" i="3"/>
  <c r="F15" i="3" s="1"/>
  <c r="D15" i="3"/>
  <c r="D14" i="3"/>
  <c r="F14" i="3" s="1"/>
  <c r="E14" i="4"/>
  <c r="E15" i="4"/>
  <c r="C3" i="1"/>
  <c r="C17" i="1"/>
  <c r="B17" i="1" l="1"/>
  <c r="E22" i="4"/>
  <c r="E24" i="4" s="1"/>
  <c r="E19" i="4"/>
  <c r="E18" i="4"/>
  <c r="E17" i="4"/>
  <c r="E16" i="4"/>
  <c r="D23" i="3"/>
  <c r="D22" i="3"/>
  <c r="D19" i="3"/>
  <c r="D18" i="3"/>
  <c r="D17" i="3"/>
  <c r="D16" i="3"/>
  <c r="D20" i="3" s="1"/>
  <c r="C11" i="1"/>
  <c r="B14" i="1" s="1"/>
  <c r="H7" i="2"/>
  <c r="F7" i="2"/>
  <c r="E7" i="2"/>
  <c r="D7" i="2"/>
  <c r="G7" i="2"/>
  <c r="E3" i="1"/>
  <c r="E22" i="3"/>
  <c r="E24" i="3" s="1"/>
  <c r="E19" i="3"/>
  <c r="E18" i="3"/>
  <c r="E17" i="3"/>
  <c r="E16" i="3"/>
  <c r="D23" i="4"/>
  <c r="D22" i="4"/>
  <c r="D24" i="4" s="1"/>
  <c r="F24" i="4" s="1"/>
  <c r="D19" i="4"/>
  <c r="D18" i="4"/>
  <c r="D17" i="4"/>
  <c r="D16" i="4"/>
  <c r="D20" i="4" s="1"/>
  <c r="D24" i="3" l="1"/>
  <c r="F24" i="3" s="1"/>
  <c r="F15" i="2"/>
  <c r="F23" i="2" s="1"/>
  <c r="F14" i="2"/>
  <c r="G15" i="2"/>
  <c r="G23" i="2" s="1"/>
  <c r="G14" i="2"/>
  <c r="D15" i="2"/>
  <c r="I7" i="2"/>
  <c r="I15" i="2" s="1"/>
  <c r="D14" i="2"/>
  <c r="E15" i="2"/>
  <c r="E14" i="2"/>
  <c r="H15" i="2"/>
  <c r="H23" i="2" s="1"/>
  <c r="H14" i="2"/>
  <c r="B8" i="1"/>
  <c r="H18" i="2" l="1"/>
  <c r="H22" i="2"/>
  <c r="H24" i="2" s="1"/>
  <c r="H17" i="2"/>
  <c r="H16" i="2"/>
  <c r="H20" i="2" s="1"/>
  <c r="H19" i="2"/>
  <c r="I14" i="2"/>
  <c r="G18" i="2"/>
  <c r="G22" i="2"/>
  <c r="G24" i="2" s="1"/>
  <c r="G17" i="2"/>
  <c r="G16" i="2"/>
  <c r="G20" i="2" s="1"/>
  <c r="G19" i="2"/>
  <c r="E18" i="2"/>
  <c r="E22" i="2"/>
  <c r="E17" i="2"/>
  <c r="E16" i="2"/>
  <c r="E20" i="2" s="1"/>
  <c r="E19" i="2"/>
  <c r="E23" i="2"/>
  <c r="D19" i="2"/>
  <c r="D18" i="2"/>
  <c r="D22" i="2"/>
  <c r="D17" i="2"/>
  <c r="D16" i="2"/>
  <c r="D20" i="2" s="1"/>
  <c r="D23" i="2"/>
  <c r="F22" i="2"/>
  <c r="F24" i="2" s="1"/>
  <c r="F17" i="2"/>
  <c r="F16" i="2"/>
  <c r="F20" i="2" s="1"/>
  <c r="F19" i="2"/>
  <c r="F18" i="2"/>
  <c r="D24" i="2" l="1"/>
  <c r="E24" i="2"/>
  <c r="I24" i="2" l="1"/>
</calcChain>
</file>

<file path=xl/sharedStrings.xml><?xml version="1.0" encoding="utf-8"?>
<sst xmlns="http://schemas.openxmlformats.org/spreadsheetml/2006/main" count="103" uniqueCount="53">
  <si>
    <t>한도액</t>
  </si>
  <si>
    <t>투자금</t>
  </si>
  <si>
    <t>투자비율</t>
  </si>
  <si>
    <t>순자산총액</t>
  </si>
  <si>
    <t>이자</t>
  </si>
  <si>
    <t>평가손익</t>
  </si>
  <si>
    <t>매매비율</t>
  </si>
  <si>
    <t>CMA</t>
  </si>
  <si>
    <t>연금저축(신)</t>
  </si>
  <si>
    <t>IRP</t>
  </si>
  <si>
    <t>총자산</t>
  </si>
  <si>
    <t>원금</t>
  </si>
  <si>
    <t>배당수익</t>
  </si>
  <si>
    <t>합계</t>
  </si>
  <si>
    <t>ITEMs</t>
  </si>
  <si>
    <t>#</t>
  </si>
  <si>
    <t>코드</t>
  </si>
  <si>
    <t>498400</t>
  </si>
  <si>
    <t>091160</t>
  </si>
  <si>
    <t>487240</t>
  </si>
  <si>
    <t>종목</t>
  </si>
  <si>
    <t>KODEX 200타겟위클리커버드콜</t>
  </si>
  <si>
    <t>KODEX 반도체</t>
  </si>
  <si>
    <t>KODEX AI전력핵심설비</t>
  </si>
  <si>
    <t>Plan</t>
  </si>
  <si>
    <t>투자비중</t>
  </si>
  <si>
    <t>매수목표</t>
  </si>
  <si>
    <t>투자목표</t>
  </si>
  <si>
    <t>Investment</t>
  </si>
  <si>
    <t>보유량</t>
  </si>
  <si>
    <t>평균단가</t>
  </si>
  <si>
    <t>매매</t>
  </si>
  <si>
    <t>현재가</t>
  </si>
  <si>
    <t>수익률</t>
  </si>
  <si>
    <t>수익</t>
  </si>
  <si>
    <t>추가매수</t>
  </si>
  <si>
    <t>목표</t>
  </si>
  <si>
    <t>목표수량</t>
  </si>
  <si>
    <t>투자금 목표</t>
  </si>
  <si>
    <t>목표평단가</t>
  </si>
  <si>
    <t>배당,분배
(세후)</t>
  </si>
  <si>
    <t>494300</t>
  </si>
  <si>
    <t>KODEX 미국나스닥100데일리커버드콜OTM</t>
  </si>
  <si>
    <t>Plane</t>
  </si>
  <si>
    <t>투자한도</t>
  </si>
  <si>
    <t>추가매수(금액)</t>
  </si>
  <si>
    <t>추가매수(주)</t>
  </si>
  <si>
    <t>목표투자금</t>
  </si>
  <si>
    <t>481060</t>
  </si>
  <si>
    <t>KODEX 미국30년국채타겟커버드콜(합성H)</t>
  </si>
  <si>
    <t>매수한도</t>
  </si>
  <si>
    <t>KODEX 현대차로보틱스밸류체인TOP3플러</t>
    <phoneticPr fontId="4" type="noConversion"/>
  </si>
  <si>
    <t>020400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</si>
</sst>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12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100">
    <xf numFmtId="0" fontId="0" fillId="0" borderId="0" xfId="0" applyAlignment="1">
      <alignment vertical="center"/>
    </xf>
    <xf numFmtId="0" fontId="3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5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2" borderId="1" xfId="5" applyNumberFormat="1" applyFont="1" applyFill="1" applyBorder="1" applyAlignment="1">
      <alignment horizontal="center"/>
    </xf>
    <xf numFmtId="49" fontId="0" fillId="2" borderId="1" xfId="5" applyNumberFormat="1" applyFont="1" applyFill="1" applyBorder="1" applyAlignment="1">
      <alignment horizontal="center"/>
    </xf>
    <xf numFmtId="0" fontId="3" fillId="0" borderId="1" xfId="0" applyFont="1" applyBorder="1" applyAlignment="1"/>
    <xf numFmtId="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/>
    <xf numFmtId="9" fontId="3" fillId="0" borderId="1" xfId="1" applyBorder="1" applyAlignment="1">
      <alignment vertical="center"/>
    </xf>
    <xf numFmtId="10" fontId="3" fillId="0" borderId="0" xfId="1" applyNumberFormat="1" applyAlignment="1">
      <alignment vertical="center"/>
    </xf>
    <xf numFmtId="17" fontId="3" fillId="0" borderId="0" xfId="0" applyNumberFormat="1" applyFont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7" fontId="0" fillId="0" borderId="1" xfId="0" applyNumberFormat="1" applyBorder="1" applyAlignment="1"/>
    <xf numFmtId="0" fontId="0" fillId="0" borderId="0" xfId="0" applyAlignment="1"/>
    <xf numFmtId="0" fontId="0" fillId="0" borderId="0" xfId="0" applyAlignment="1">
      <alignment vertical="center"/>
    </xf>
    <xf numFmtId="0" fontId="3" fillId="0" borderId="6" xfId="0" applyFont="1" applyBorder="1" applyAlignment="1">
      <alignment horizontal="center" vertical="center"/>
    </xf>
    <xf numFmtId="10" fontId="5" fillId="3" borderId="9" xfId="1" applyNumberFormat="1" applyFont="1" applyFill="1" applyBorder="1" applyAlignment="1">
      <alignment vertical="center"/>
    </xf>
    <xf numFmtId="9" fontId="3" fillId="0" borderId="11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9" fontId="3" fillId="0" borderId="7" xfId="1" applyBorder="1" applyAlignment="1">
      <alignment vertical="center"/>
    </xf>
    <xf numFmtId="9" fontId="3" fillId="0" borderId="9" xfId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4" fontId="0" fillId="0" borderId="6" xfId="0" applyNumberFormat="1" applyBorder="1" applyAlignment="1"/>
    <xf numFmtId="0" fontId="0" fillId="0" borderId="6" xfId="0" applyBorder="1" applyAlignment="1"/>
    <xf numFmtId="14" fontId="0" fillId="0" borderId="11" xfId="0" applyNumberFormat="1" applyBorder="1" applyAlignment="1"/>
    <xf numFmtId="10" fontId="3" fillId="0" borderId="1" xfId="1" applyNumberForma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3" fillId="0" borderId="1" xfId="2" applyBorder="1" applyAlignment="1">
      <alignment vertical="center"/>
    </xf>
    <xf numFmtId="41" fontId="3" fillId="2" borderId="1" xfId="2" applyFill="1" applyBorder="1" applyAlignment="1">
      <alignment vertical="center"/>
    </xf>
    <xf numFmtId="41" fontId="3" fillId="3" borderId="1" xfId="2" applyFill="1" applyBorder="1" applyAlignment="1">
      <alignment vertical="center"/>
    </xf>
    <xf numFmtId="41" fontId="0" fillId="0" borderId="0" xfId="0" applyNumberFormat="1" applyAlignment="1"/>
    <xf numFmtId="41" fontId="2" fillId="0" borderId="1" xfId="0" applyNumberFormat="1" applyFont="1" applyBorder="1" applyAlignment="1">
      <alignment vertical="center"/>
    </xf>
    <xf numFmtId="41" fontId="2" fillId="0" borderId="1" xfId="0" applyNumberFormat="1" applyFont="1" applyBorder="1" applyAlignment="1"/>
    <xf numFmtId="41" fontId="2" fillId="0" borderId="0" xfId="0" applyNumberFormat="1" applyFont="1" applyAlignment="1"/>
    <xf numFmtId="176" fontId="2" fillId="2" borderId="6" xfId="1" applyNumberFormat="1" applyFont="1" applyFill="1" applyBorder="1" applyAlignment="1">
      <alignment vertical="center"/>
    </xf>
    <xf numFmtId="176" fontId="2" fillId="2" borderId="1" xfId="1" applyNumberFormat="1" applyFont="1" applyFill="1" applyBorder="1" applyAlignment="1">
      <alignment vertical="center"/>
    </xf>
    <xf numFmtId="41" fontId="3" fillId="0" borderId="11" xfId="2" applyBorder="1" applyAlignment="1">
      <alignment horizontal="right" vertical="center"/>
    </xf>
    <xf numFmtId="41" fontId="3" fillId="0" borderId="12" xfId="0" applyNumberFormat="1" applyFont="1" applyBorder="1" applyAlignment="1">
      <alignment vertical="center"/>
    </xf>
    <xf numFmtId="41" fontId="0" fillId="0" borderId="6" xfId="2" applyFont="1" applyBorder="1" applyAlignment="1">
      <alignment horizontal="center" vertical="center"/>
    </xf>
    <xf numFmtId="41" fontId="2" fillId="2" borderId="6" xfId="2" applyFont="1" applyFill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41" fontId="2" fillId="2" borderId="1" xfId="2" applyFont="1" applyFill="1" applyBorder="1" applyAlignment="1">
      <alignment vertical="center"/>
    </xf>
    <xf numFmtId="41" fontId="2" fillId="0" borderId="12" xfId="0" applyNumberFormat="1" applyFont="1" applyBorder="1" applyAlignment="1">
      <alignment vertical="center"/>
    </xf>
    <xf numFmtId="41" fontId="11" fillId="2" borderId="6" xfId="2" applyFont="1" applyFill="1" applyBorder="1" applyAlignment="1">
      <alignment vertical="center"/>
    </xf>
    <xf numFmtId="41" fontId="10" fillId="2" borderId="6" xfId="2" applyFont="1" applyFill="1" applyBorder="1" applyAlignment="1">
      <alignment vertical="center"/>
    </xf>
    <xf numFmtId="41" fontId="2" fillId="0" borderId="1" xfId="2" applyFont="1" applyBorder="1" applyAlignment="1">
      <alignment vertical="center"/>
    </xf>
    <xf numFmtId="41" fontId="2" fillId="0" borderId="9" xfId="2" applyFont="1" applyBorder="1" applyAlignment="1">
      <alignment vertical="center"/>
    </xf>
    <xf numFmtId="41" fontId="3" fillId="0" borderId="9" xfId="2" applyBorder="1" applyAlignment="1">
      <alignment vertical="center"/>
    </xf>
    <xf numFmtId="41" fontId="3" fillId="0" borderId="11" xfId="2" applyBorder="1" applyAlignment="1">
      <alignment vertical="center"/>
    </xf>
    <xf numFmtId="41" fontId="2" fillId="0" borderId="12" xfId="2" applyFont="1" applyBorder="1" applyAlignment="1">
      <alignment vertical="center"/>
    </xf>
    <xf numFmtId="41" fontId="3" fillId="0" borderId="0" xfId="2" applyAlignment="1">
      <alignment vertical="center"/>
    </xf>
    <xf numFmtId="41" fontId="2" fillId="0" borderId="0" xfId="2" applyFont="1" applyAlignment="1">
      <alignment vertical="center"/>
    </xf>
    <xf numFmtId="41" fontId="3" fillId="0" borderId="6" xfId="2" applyBorder="1" applyAlignment="1">
      <alignment horizontal="right" vertical="center"/>
    </xf>
    <xf numFmtId="41" fontId="3" fillId="0" borderId="1" xfId="2" applyBorder="1" applyAlignment="1">
      <alignment horizontal="center" vertical="center"/>
    </xf>
    <xf numFmtId="41" fontId="0" fillId="0" borderId="12" xfId="0" applyNumberFormat="1" applyBorder="1" applyAlignment="1">
      <alignment vertical="center"/>
    </xf>
    <xf numFmtId="41" fontId="3" fillId="0" borderId="2" xfId="2" applyBorder="1" applyAlignment="1">
      <alignment horizontal="center" vertical="center"/>
    </xf>
    <xf numFmtId="41" fontId="3" fillId="0" borderId="6" xfId="2" applyBorder="1" applyAlignment="1">
      <alignment vertical="center"/>
    </xf>
    <xf numFmtId="41" fontId="3" fillId="0" borderId="7" xfId="1" applyNumberFormat="1" applyBorder="1" applyAlignment="1">
      <alignment vertical="center"/>
    </xf>
    <xf numFmtId="41" fontId="3" fillId="0" borderId="12" xfId="1" applyNumberFormat="1" applyBorder="1" applyAlignment="1">
      <alignment vertical="center"/>
    </xf>
    <xf numFmtId="41" fontId="0" fillId="0" borderId="0" xfId="0" applyNumberFormat="1" applyAlignment="1">
      <alignment vertical="center"/>
    </xf>
    <xf numFmtId="41" fontId="9" fillId="2" borderId="6" xfId="2" applyFont="1" applyFill="1" applyBorder="1" applyAlignment="1">
      <alignment vertical="center"/>
    </xf>
    <xf numFmtId="41" fontId="3" fillId="0" borderId="1" xfId="2" applyBorder="1" applyAlignment="1">
      <alignment horizontal="right" vertical="center"/>
    </xf>
    <xf numFmtId="41" fontId="0" fillId="0" borderId="1" xfId="2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41" fontId="3" fillId="0" borderId="1" xfId="1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41" fontId="8" fillId="2" borderId="6" xfId="2" applyFont="1" applyFill="1" applyBorder="1" applyAlignment="1">
      <alignment vertical="center"/>
    </xf>
    <xf numFmtId="41" fontId="0" fillId="0" borderId="1" xfId="0" applyNumberFormat="1" applyBorder="1" applyAlignment="1"/>
    <xf numFmtId="41" fontId="7" fillId="4" borderId="1" xfId="2" applyFont="1" applyFill="1" applyBorder="1" applyAlignment="1">
      <alignment horizontal="center" vertical="center"/>
    </xf>
    <xf numFmtId="0" fontId="0" fillId="0" borderId="5" xfId="0" applyBorder="1" applyAlignment="1"/>
    <xf numFmtId="41" fontId="7" fillId="4" borderId="13" xfId="2" applyFont="1" applyFill="1" applyBorder="1" applyAlignment="1">
      <alignment horizontal="center" vertical="center" wrapText="1"/>
    </xf>
    <xf numFmtId="0" fontId="0" fillId="0" borderId="19" xfId="0" applyBorder="1" applyAlignment="1"/>
    <xf numFmtId="41" fontId="7" fillId="4" borderId="13" xfId="2" applyFont="1" applyFill="1" applyBorder="1" applyAlignment="1">
      <alignment horizontal="center" vertical="center"/>
    </xf>
    <xf numFmtId="0" fontId="0" fillId="0" borderId="14" xfId="0" applyBorder="1" applyAlignment="1"/>
    <xf numFmtId="0" fontId="3" fillId="0" borderId="7" xfId="0" applyFont="1" applyBorder="1" applyAlignment="1">
      <alignment horizontal="center" vertical="center"/>
    </xf>
    <xf numFmtId="0" fontId="0" fillId="0" borderId="17" xfId="0" applyBorder="1" applyAlignment="1"/>
    <xf numFmtId="0" fontId="0" fillId="0" borderId="16" xfId="0" applyBorder="1" applyAlignment="1"/>
    <xf numFmtId="0" fontId="7" fillId="4" borderId="13" xfId="0" applyFont="1" applyFill="1" applyBorder="1" applyAlignment="1">
      <alignment horizontal="center" vertical="center"/>
    </xf>
    <xf numFmtId="41" fontId="7" fillId="4" borderId="20" xfId="2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10" xfId="0" applyBorder="1" applyAlignment="1"/>
    <xf numFmtId="41" fontId="7" fillId="4" borderId="4" xfId="2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>
      <alignment horizontal="center" vertical="center"/>
    </xf>
    <xf numFmtId="41" fontId="7" fillId="4" borderId="21" xfId="2" applyFont="1" applyFill="1" applyBorder="1" applyAlignment="1">
      <alignment horizontal="center" vertical="center"/>
    </xf>
    <xf numFmtId="0" fontId="0" fillId="0" borderId="15" xfId="0" applyBorder="1" applyAlignment="1"/>
  </cellXfs>
  <cellStyles count="6">
    <cellStyle name="Normal" xfId="5" xr:uid="{00000000-0005-0000-0000-000005000000}"/>
    <cellStyle name="백분율" xfId="1" builtinId="5"/>
    <cellStyle name="쉼표 [0]" xfId="2" builtinId="6"/>
    <cellStyle name="쉼표 [0] 2" xfId="4" xr:uid="{00000000-0005-0000-0000-000004000000}"/>
    <cellStyle name="표준" xfId="0" builtinId="0"/>
    <cellStyle name="표준 2" xfId="3" xr:uid="{00000000-0005-0000-0000-000003000000}"/>
  </cellStyles>
  <dxfs count="32"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D33" sqref="D33"/>
    </sheetView>
  </sheetViews>
  <sheetFormatPr defaultRowHeight="17" x14ac:dyDescent="0.45"/>
  <cols>
    <col min="2" max="2" width="14.25" style="17" bestFit="1" customWidth="1"/>
    <col min="3" max="3" width="17.4140625" style="17" customWidth="1"/>
    <col min="4" max="4" width="14.25" style="17" bestFit="1" customWidth="1"/>
    <col min="5" max="5" width="14.25" style="17" customWidth="1"/>
    <col min="6" max="6" width="14.25" style="17" bestFit="1" customWidth="1"/>
    <col min="7" max="7" width="14.25" style="17" customWidth="1"/>
    <col min="8" max="8" width="12.6640625" style="17" bestFit="1" customWidth="1"/>
    <col min="9" max="9" width="2.4140625" style="17" customWidth="1"/>
  </cols>
  <sheetData>
    <row r="1" spans="1:10" s="18" customFormat="1" x14ac:dyDescent="0.45"/>
    <row r="2" spans="1:10" x14ac:dyDescent="0.45">
      <c r="B2" s="4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J2" s="9" t="s">
        <v>6</v>
      </c>
    </row>
    <row r="3" spans="1:10" x14ac:dyDescent="0.45">
      <c r="B3" s="2" t="s">
        <v>7</v>
      </c>
      <c r="C3" s="39">
        <f>ROUNDDOWN(F3-H3, -7)</f>
        <v>1220000000</v>
      </c>
      <c r="D3" s="39">
        <f>CMA!I10</f>
        <v>283321777</v>
      </c>
      <c r="E3" s="34">
        <f>D3/C3</f>
        <v>0.23223096475409835</v>
      </c>
      <c r="F3" s="40">
        <v>1308400000</v>
      </c>
      <c r="G3" s="40"/>
      <c r="H3" s="41">
        <f>CMA!I13</f>
        <v>79982018</v>
      </c>
      <c r="J3" s="12">
        <v>0.4</v>
      </c>
    </row>
    <row r="4" spans="1:10" x14ac:dyDescent="0.45">
      <c r="B4" s="2" t="s">
        <v>8</v>
      </c>
      <c r="C4" s="39">
        <f>ROUNDDOWN(F4-H4, -6)</f>
        <v>127000000</v>
      </c>
      <c r="D4" s="39">
        <f>개인연금!F10</f>
        <v>104108868</v>
      </c>
      <c r="E4" s="34">
        <f>D4/C4</f>
        <v>0.81975486614173232</v>
      </c>
      <c r="F4" s="40">
        <v>137400000</v>
      </c>
      <c r="G4" s="40">
        <v>0</v>
      </c>
      <c r="H4" s="41">
        <f>개인연금!F13+G4</f>
        <v>10221372</v>
      </c>
      <c r="J4" s="12">
        <v>0.3</v>
      </c>
    </row>
    <row r="5" spans="1:10" x14ac:dyDescent="0.45">
      <c r="B5" s="2" t="s">
        <v>9</v>
      </c>
      <c r="C5" s="39">
        <f>ROUNDDOWN(F5-H5, -5)</f>
        <v>13500000</v>
      </c>
      <c r="D5" s="39">
        <f>퇴직연금!F10</f>
        <v>13615448</v>
      </c>
      <c r="E5" s="34">
        <f>D5/C5</f>
        <v>1.0085517037037037</v>
      </c>
      <c r="F5" s="40">
        <v>13700000</v>
      </c>
      <c r="G5" s="40">
        <v>0</v>
      </c>
      <c r="H5" s="41">
        <f>퇴직연금!F13+G5</f>
        <v>198352</v>
      </c>
      <c r="J5" s="12">
        <v>0.2</v>
      </c>
    </row>
    <row r="6" spans="1:10" x14ac:dyDescent="0.45">
      <c r="D6" s="42"/>
      <c r="E6" s="42"/>
      <c r="F6" s="42"/>
      <c r="H6" s="42"/>
      <c r="J6" s="12">
        <v>0.1</v>
      </c>
    </row>
    <row r="7" spans="1:10" x14ac:dyDescent="0.45">
      <c r="B7" s="80" t="s">
        <v>10</v>
      </c>
      <c r="C7" s="81"/>
    </row>
    <row r="8" spans="1:10" x14ac:dyDescent="0.45">
      <c r="A8" s="18"/>
      <c r="B8" s="34">
        <f>C17/C11</f>
        <v>6.6447439911797135E-2</v>
      </c>
      <c r="C8" s="43">
        <f>SUM(F3,F4,F5)</f>
        <v>1459500000</v>
      </c>
    </row>
    <row r="10" spans="1:10" x14ac:dyDescent="0.45">
      <c r="A10" s="18"/>
      <c r="B10" s="80" t="s">
        <v>11</v>
      </c>
      <c r="C10" s="81"/>
    </row>
    <row r="11" spans="1:10" s="18" customFormat="1" x14ac:dyDescent="0.45">
      <c r="B11" s="9"/>
      <c r="C11" s="43">
        <f>SUM(C3,C4,C5)</f>
        <v>1360500000</v>
      </c>
    </row>
    <row r="12" spans="1:10" x14ac:dyDescent="0.45">
      <c r="A12" s="18"/>
    </row>
    <row r="13" spans="1:10" s="18" customFormat="1" x14ac:dyDescent="0.45">
      <c r="B13" s="80" t="s">
        <v>1</v>
      </c>
      <c r="C13" s="81"/>
    </row>
    <row r="14" spans="1:10" s="18" customFormat="1" x14ac:dyDescent="0.45">
      <c r="B14" s="34">
        <f>C14/C11</f>
        <v>0.29477845865490626</v>
      </c>
      <c r="C14" s="44">
        <f>SUM(D3:D5)</f>
        <v>401046093</v>
      </c>
    </row>
    <row r="15" spans="1:10" s="18" customFormat="1" x14ac:dyDescent="0.45"/>
    <row r="16" spans="1:10" s="18" customFormat="1" x14ac:dyDescent="0.45">
      <c r="B16" s="80" t="s">
        <v>5</v>
      </c>
      <c r="C16" s="81"/>
    </row>
    <row r="17" spans="2:3" s="18" customFormat="1" x14ac:dyDescent="0.45">
      <c r="B17" s="34">
        <f>C17/C14</f>
        <v>0.22541484277718671</v>
      </c>
      <c r="C17" s="43">
        <f>SUM(H3,H4,H5)</f>
        <v>90401742</v>
      </c>
    </row>
    <row r="18" spans="2:3" s="18" customFormat="1" x14ac:dyDescent="0.45"/>
    <row r="19" spans="2:3" s="18" customFormat="1" x14ac:dyDescent="0.45">
      <c r="B19" s="80" t="s">
        <v>12</v>
      </c>
      <c r="C19" s="81"/>
    </row>
    <row r="20" spans="2:3" s="18" customFormat="1" x14ac:dyDescent="0.45">
      <c r="B20" s="15" t="s">
        <v>13</v>
      </c>
      <c r="C20" s="44">
        <f>SUM(C22:C34)</f>
        <v>5957868</v>
      </c>
    </row>
    <row r="21" spans="2:3" s="18" customFormat="1" x14ac:dyDescent="0.45">
      <c r="B21" s="14"/>
      <c r="C21" s="45"/>
    </row>
    <row r="22" spans="2:3" s="18" customFormat="1" x14ac:dyDescent="0.45">
      <c r="B22" s="16">
        <v>46143</v>
      </c>
      <c r="C22" s="44">
        <f>CMA!J27+개인연금!G26+퇴직연금!F26</f>
        <v>4261901</v>
      </c>
    </row>
    <row r="23" spans="2:3" s="18" customFormat="1" x14ac:dyDescent="0.45">
      <c r="B23" s="16">
        <v>46174</v>
      </c>
      <c r="C23" s="44">
        <f>CMA!J28+개인연금!G27+퇴직연금!G26</f>
        <v>1695967</v>
      </c>
    </row>
  </sheetData>
  <mergeCells count="5">
    <mergeCell ref="B13:C13"/>
    <mergeCell ref="B16:C16"/>
    <mergeCell ref="B7:C7"/>
    <mergeCell ref="B19:C19"/>
    <mergeCell ref="B10:C10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1" workbookViewId="0">
      <selection activeCell="I34" sqref="H34:I34"/>
    </sheetView>
  </sheetViews>
  <sheetFormatPr defaultRowHeight="17" x14ac:dyDescent="0.45"/>
  <cols>
    <col min="1" max="1" width="3.33203125" style="17" customWidth="1"/>
    <col min="2" max="2" width="11" style="17" bestFit="1" customWidth="1"/>
    <col min="3" max="3" width="13" style="17" bestFit="1" customWidth="1"/>
    <col min="4" max="4" width="28.9140625" style="17" customWidth="1"/>
    <col min="5" max="5" width="27" style="17" customWidth="1"/>
    <col min="6" max="6" width="25.25" style="17" customWidth="1"/>
    <col min="7" max="7" width="34.9140625" style="17" customWidth="1"/>
    <col min="8" max="8" width="26.83203125" style="17" bestFit="1" customWidth="1"/>
    <col min="9" max="9" width="13.83203125" style="17" bestFit="1" customWidth="1"/>
    <col min="10" max="10" width="10.58203125" style="17" bestFit="1" customWidth="1"/>
  </cols>
  <sheetData>
    <row r="1" spans="2:9" ht="17.5" customHeight="1" thickBot="1" x14ac:dyDescent="0.5"/>
    <row r="2" spans="2:9" x14ac:dyDescent="0.45">
      <c r="B2" s="89" t="s">
        <v>14</v>
      </c>
      <c r="C2" s="28" t="s">
        <v>15</v>
      </c>
      <c r="D2" s="29">
        <v>1</v>
      </c>
      <c r="E2" s="29">
        <v>3</v>
      </c>
      <c r="F2" s="29">
        <v>3</v>
      </c>
      <c r="G2" s="29">
        <v>4</v>
      </c>
      <c r="H2" s="29">
        <v>5</v>
      </c>
      <c r="I2" s="86" t="s">
        <v>13</v>
      </c>
    </row>
    <row r="3" spans="2:9" x14ac:dyDescent="0.45">
      <c r="B3" s="85"/>
      <c r="C3" s="4" t="s">
        <v>16</v>
      </c>
      <c r="D3" s="7" t="s">
        <v>17</v>
      </c>
      <c r="E3" s="8" t="s">
        <v>18</v>
      </c>
      <c r="F3" s="7" t="s">
        <v>19</v>
      </c>
      <c r="G3" s="7" t="s">
        <v>52</v>
      </c>
      <c r="H3" s="7"/>
      <c r="I3" s="88"/>
    </row>
    <row r="4" spans="2:9" ht="17.5" customHeight="1" thickBot="1" x14ac:dyDescent="0.5">
      <c r="B4" s="83"/>
      <c r="C4" s="35" t="s">
        <v>20</v>
      </c>
      <c r="D4" s="36" t="s">
        <v>21</v>
      </c>
      <c r="E4" s="36" t="s">
        <v>22</v>
      </c>
      <c r="F4" s="36" t="s">
        <v>23</v>
      </c>
      <c r="G4" s="36" t="s">
        <v>51</v>
      </c>
      <c r="H4" s="36"/>
      <c r="I4" s="87"/>
    </row>
    <row r="5" spans="2:9" x14ac:dyDescent="0.45">
      <c r="B5" s="89" t="s">
        <v>24</v>
      </c>
      <c r="C5" s="19" t="s">
        <v>25</v>
      </c>
      <c r="D5" s="46">
        <v>0.4</v>
      </c>
      <c r="E5" s="46">
        <v>0.3</v>
      </c>
      <c r="F5" s="46">
        <v>0.2</v>
      </c>
      <c r="G5" s="46">
        <v>0.1</v>
      </c>
      <c r="H5" s="46"/>
      <c r="I5" s="25">
        <f>SUM(D5:H5)</f>
        <v>0.99999999999999989</v>
      </c>
    </row>
    <row r="6" spans="2:9" ht="17.5" customHeight="1" x14ac:dyDescent="0.45">
      <c r="B6" s="85"/>
      <c r="C6" s="38" t="s">
        <v>26</v>
      </c>
      <c r="D6" s="47">
        <v>0.5</v>
      </c>
      <c r="E6" s="47">
        <v>0.2</v>
      </c>
      <c r="F6" s="47">
        <v>0.1</v>
      </c>
      <c r="G6" s="47">
        <v>0.1</v>
      </c>
      <c r="H6" s="47"/>
      <c r="I6" s="26"/>
    </row>
    <row r="7" spans="2:9" ht="17.5" customHeight="1" thickBot="1" x14ac:dyDescent="0.5">
      <c r="B7" s="83"/>
      <c r="C7" s="27" t="s">
        <v>27</v>
      </c>
      <c r="D7" s="48">
        <f>Assets!$C3*(D5)*D6</f>
        <v>244000000</v>
      </c>
      <c r="E7" s="48">
        <f>Assets!$C3*(E5)*E6</f>
        <v>73200000</v>
      </c>
      <c r="F7" s="48">
        <f>Assets!$C3*(F5)*F6</f>
        <v>24400000</v>
      </c>
      <c r="G7" s="48">
        <f>Assets!$C3*(G5)*G6</f>
        <v>12200000</v>
      </c>
      <c r="H7" s="48">
        <f>Assets!$C3*(H5)*H6</f>
        <v>0</v>
      </c>
      <c r="I7" s="49">
        <f>SUM(D7:G7)</f>
        <v>353800000</v>
      </c>
    </row>
    <row r="8" spans="2:9" s="18" customFormat="1" ht="17.5" customHeight="1" x14ac:dyDescent="0.45">
      <c r="B8" s="89" t="s">
        <v>28</v>
      </c>
      <c r="C8" s="50" t="s">
        <v>29</v>
      </c>
      <c r="D8" s="51">
        <v>9606</v>
      </c>
      <c r="E8" s="51">
        <v>496</v>
      </c>
      <c r="F8" s="51">
        <v>254</v>
      </c>
      <c r="G8" s="51">
        <v>1361</v>
      </c>
      <c r="H8" s="51"/>
      <c r="I8" s="22"/>
    </row>
    <row r="9" spans="2:9" s="18" customFormat="1" ht="17.5" customHeight="1" x14ac:dyDescent="0.45">
      <c r="B9" s="85"/>
      <c r="C9" s="52" t="s">
        <v>30</v>
      </c>
      <c r="D9" s="53">
        <v>20486</v>
      </c>
      <c r="E9" s="53">
        <v>125661</v>
      </c>
      <c r="F9" s="53">
        <v>47260</v>
      </c>
      <c r="G9" s="53">
        <v>8965</v>
      </c>
      <c r="H9" s="53"/>
      <c r="I9" s="23"/>
    </row>
    <row r="10" spans="2:9" ht="17.5" customHeight="1" thickBot="1" x14ac:dyDescent="0.5">
      <c r="B10" s="83"/>
      <c r="C10" s="24" t="s">
        <v>1</v>
      </c>
      <c r="D10" s="48">
        <f>D9*D8</f>
        <v>196788516</v>
      </c>
      <c r="E10" s="48">
        <f>E9*E8</f>
        <v>62327856</v>
      </c>
      <c r="F10" s="48">
        <f>F9*F8</f>
        <v>12004040</v>
      </c>
      <c r="G10" s="48">
        <f>G9*G8</f>
        <v>12201365</v>
      </c>
      <c r="H10" s="48">
        <f>H9*H8</f>
        <v>0</v>
      </c>
      <c r="I10" s="54">
        <f>SUM(D10:G10)</f>
        <v>283321777</v>
      </c>
    </row>
    <row r="11" spans="2:9" ht="17.5" customHeight="1" thickBot="1" x14ac:dyDescent="0.5">
      <c r="B11" s="90" t="s">
        <v>31</v>
      </c>
      <c r="C11" s="19" t="s">
        <v>32</v>
      </c>
      <c r="D11" s="55">
        <v>26330</v>
      </c>
      <c r="E11" s="55">
        <v>173400</v>
      </c>
      <c r="F11" s="55">
        <v>47860</v>
      </c>
      <c r="G11" s="56">
        <v>8975</v>
      </c>
      <c r="H11" s="56"/>
      <c r="I11" s="37"/>
    </row>
    <row r="12" spans="2:9" x14ac:dyDescent="0.45">
      <c r="B12" s="91"/>
      <c r="C12" s="4" t="s">
        <v>33</v>
      </c>
      <c r="D12" s="5">
        <f>IF(D9&gt;0, (D11-D9)/D9, 0)</f>
        <v>0.28526798789417163</v>
      </c>
      <c r="E12" s="5">
        <f>IF(E9&gt;0, (E11-E9)/E9, 0)</f>
        <v>0.37990307255234324</v>
      </c>
      <c r="F12" s="5">
        <f>IF(F9&gt;0, (F11-F9)/F9, 0)</f>
        <v>1.2695725772323318E-2</v>
      </c>
      <c r="G12" s="5">
        <f>IF(G9&gt;0, (G11-G9)/G9, 0)</f>
        <v>1.1154489682097045E-3</v>
      </c>
      <c r="H12" s="5">
        <f>IF(H9&gt;0, (H11-H9)/H9, 0)</f>
        <v>0</v>
      </c>
      <c r="I12" s="20">
        <f>I13/I10</f>
        <v>0.28230098952118321</v>
      </c>
    </row>
    <row r="13" spans="2:9" x14ac:dyDescent="0.45">
      <c r="B13" s="91"/>
      <c r="C13" s="38" t="s">
        <v>34</v>
      </c>
      <c r="D13" s="57">
        <f>D10*D12</f>
        <v>56137464</v>
      </c>
      <c r="E13" s="57">
        <f>E10*E12</f>
        <v>23678544</v>
      </c>
      <c r="F13" s="57">
        <f>F10*F12</f>
        <v>152400</v>
      </c>
      <c r="G13" s="57">
        <f>G10*G12</f>
        <v>13610</v>
      </c>
      <c r="H13" s="57">
        <f>H10*H12</f>
        <v>0</v>
      </c>
      <c r="I13" s="58">
        <f>SUM(D13:G13)</f>
        <v>79982018</v>
      </c>
    </row>
    <row r="14" spans="2:9" x14ac:dyDescent="0.45">
      <c r="B14" s="91"/>
      <c r="C14" s="38" t="s">
        <v>31</v>
      </c>
      <c r="D14" s="57">
        <f>D7-D10</f>
        <v>47211484</v>
      </c>
      <c r="E14" s="57">
        <f>E7-E10</f>
        <v>10872144</v>
      </c>
      <c r="F14" s="57">
        <f>F7-F10</f>
        <v>12395960</v>
      </c>
      <c r="G14" s="57">
        <f>G7-G10</f>
        <v>-1365</v>
      </c>
      <c r="H14" s="57">
        <f>H7-H10</f>
        <v>0</v>
      </c>
      <c r="I14" s="59">
        <f>SUM(D14:G14)</f>
        <v>70478223</v>
      </c>
    </row>
    <row r="15" spans="2:9" ht="17.5" customHeight="1" x14ac:dyDescent="0.45">
      <c r="B15" s="91"/>
      <c r="C15" s="38" t="s">
        <v>35</v>
      </c>
      <c r="D15" s="57">
        <f t="shared" ref="D15:I15" si="0">IFERROR((D7-D10)/D11, 0)</f>
        <v>1793.0681352069882</v>
      </c>
      <c r="E15" s="57">
        <f t="shared" si="0"/>
        <v>62.699792387543255</v>
      </c>
      <c r="F15" s="57">
        <f t="shared" si="0"/>
        <v>259.00459674049313</v>
      </c>
      <c r="G15" s="57">
        <f t="shared" si="0"/>
        <v>-0.15208913649025069</v>
      </c>
      <c r="H15" s="57">
        <f t="shared" si="0"/>
        <v>0</v>
      </c>
      <c r="I15" s="58">
        <f t="shared" si="0"/>
        <v>0</v>
      </c>
    </row>
    <row r="16" spans="2:9" s="18" customFormat="1" ht="17.5" customHeight="1" x14ac:dyDescent="0.45">
      <c r="B16" s="91"/>
      <c r="C16" s="10">
        <v>0.4</v>
      </c>
      <c r="D16" s="39">
        <f>D$15*Assets!$J3</f>
        <v>717.2272540827953</v>
      </c>
      <c r="E16" s="39">
        <f>E$15*Assets!$J3</f>
        <v>25.079916955017303</v>
      </c>
      <c r="F16" s="39">
        <f>F$15*Assets!$J3</f>
        <v>103.60183869619726</v>
      </c>
      <c r="G16" s="39">
        <f>G$15*Assets!$J3</f>
        <v>-6.0835654596100276E-2</v>
      </c>
      <c r="H16" s="39">
        <f>H$15*Assets!$J3</f>
        <v>0</v>
      </c>
      <c r="I16" s="58"/>
    </row>
    <row r="17" spans="2:10" s="18" customFormat="1" ht="17.5" customHeight="1" x14ac:dyDescent="0.45">
      <c r="B17" s="91"/>
      <c r="C17" s="10">
        <v>0.3</v>
      </c>
      <c r="D17" s="39">
        <f>D$15*Assets!$J4</f>
        <v>537.92044056209647</v>
      </c>
      <c r="E17" s="39">
        <f>E$15*Assets!$J4</f>
        <v>18.809937716262976</v>
      </c>
      <c r="F17" s="39">
        <f>F$15*Assets!$J4</f>
        <v>77.701379022147933</v>
      </c>
      <c r="G17" s="39">
        <f>G$15*Assets!$J4</f>
        <v>-4.5626740947075202E-2</v>
      </c>
      <c r="H17" s="39">
        <f>H$15*Assets!$J4</f>
        <v>0</v>
      </c>
      <c r="I17" s="58"/>
    </row>
    <row r="18" spans="2:10" s="18" customFormat="1" ht="17.5" customHeight="1" x14ac:dyDescent="0.45">
      <c r="B18" s="91"/>
      <c r="C18" s="10">
        <v>0.2</v>
      </c>
      <c r="D18" s="39">
        <f>D$15*Assets!$J5</f>
        <v>358.61362704139765</v>
      </c>
      <c r="E18" s="39">
        <f>E$15*Assets!$J5</f>
        <v>12.539958477508652</v>
      </c>
      <c r="F18" s="39">
        <f>F$15*Assets!$J5</f>
        <v>51.800919348098631</v>
      </c>
      <c r="G18" s="39">
        <f>G$15*Assets!$J5</f>
        <v>-3.0417827298050138E-2</v>
      </c>
      <c r="H18" s="39">
        <f>H$15*Assets!$J5</f>
        <v>0</v>
      </c>
      <c r="I18" s="58"/>
    </row>
    <row r="19" spans="2:10" s="18" customFormat="1" ht="17.5" customHeight="1" thickBot="1" x14ac:dyDescent="0.5">
      <c r="B19" s="92"/>
      <c r="C19" s="21">
        <v>0.1</v>
      </c>
      <c r="D19" s="60">
        <f>D$15*Assets!$J6</f>
        <v>179.30681352069882</v>
      </c>
      <c r="E19" s="60">
        <f>E$15*Assets!$J6</f>
        <v>6.2699792387543258</v>
      </c>
      <c r="F19" s="60">
        <f>F$15*Assets!$J6</f>
        <v>25.900459674049316</v>
      </c>
      <c r="G19" s="60">
        <f>G$15*Assets!$J6</f>
        <v>-1.5208913649025069E-2</v>
      </c>
      <c r="H19" s="60">
        <f>H$15*Assets!$J6</f>
        <v>0</v>
      </c>
      <c r="I19" s="61"/>
    </row>
    <row r="20" spans="2:10" s="18" customFormat="1" ht="17.5" customHeight="1" x14ac:dyDescent="0.45">
      <c r="C20" s="6"/>
      <c r="D20" s="62">
        <f>D16*D11</f>
        <v>18884593.600000001</v>
      </c>
      <c r="E20" s="62">
        <f>E16*E11</f>
        <v>4348857.6000000006</v>
      </c>
      <c r="F20" s="62">
        <f>F16*F11</f>
        <v>4958384.0000000009</v>
      </c>
      <c r="G20" s="62">
        <f>G16*G11</f>
        <v>-546</v>
      </c>
      <c r="H20" s="62">
        <f>H16*H11</f>
        <v>0</v>
      </c>
      <c r="I20" s="63"/>
    </row>
    <row r="21" spans="2:10" s="18" customFormat="1" ht="17.5" customHeight="1" thickBot="1" x14ac:dyDescent="0.5">
      <c r="C21" s="6"/>
      <c r="D21" s="62"/>
      <c r="E21" s="62"/>
      <c r="F21" s="62"/>
      <c r="G21" s="62"/>
      <c r="H21" s="62"/>
      <c r="I21" s="63"/>
    </row>
    <row r="22" spans="2:10" x14ac:dyDescent="0.45">
      <c r="B22" s="84" t="s">
        <v>36</v>
      </c>
      <c r="C22" s="28" t="s">
        <v>37</v>
      </c>
      <c r="D22" s="64">
        <f>D8+D15</f>
        <v>11399.068135206988</v>
      </c>
      <c r="E22" s="64">
        <f>E8+E15</f>
        <v>558.69979238754331</v>
      </c>
      <c r="F22" s="64">
        <f>F8+F15</f>
        <v>513.00459674049307</v>
      </c>
      <c r="G22" s="64">
        <f>G8+G15</f>
        <v>1360.8479108635097</v>
      </c>
      <c r="H22" s="64">
        <f>H8+H15</f>
        <v>0</v>
      </c>
      <c r="I22" s="86" t="s">
        <v>38</v>
      </c>
    </row>
    <row r="23" spans="2:10" x14ac:dyDescent="0.45">
      <c r="B23" s="85"/>
      <c r="C23" s="4" t="s">
        <v>39</v>
      </c>
      <c r="D23" s="65">
        <f>IF(D10&gt;0,(((D8*D9)+(D15*D11))/(D8+D15)),0)</f>
        <v>21405.258491822267</v>
      </c>
      <c r="E23" s="65">
        <f>IF(E10&gt;0,(((E8*E9)+(E15*E11))/(E8+E15)),0)</f>
        <v>131018.48434055738</v>
      </c>
      <c r="F23" s="65">
        <f>IF(F10&gt;0,(((F8*F9)+(F15*F11))/(F8+F15)),0)</f>
        <v>47562.926638536359</v>
      </c>
      <c r="G23" s="65">
        <f>IF(G10&gt;0,(((G8*G9)+(G15*G11))/(G8+G15)),0)</f>
        <v>8964.9988823943131</v>
      </c>
      <c r="H23" s="65">
        <f>IF(H10&gt;0,(((H8*H9)+(H15*H11))/(H8+H15)),0)</f>
        <v>0</v>
      </c>
      <c r="I23" s="87"/>
    </row>
    <row r="24" spans="2:10" ht="17.5" customHeight="1" thickBot="1" x14ac:dyDescent="0.5">
      <c r="B24" s="83"/>
      <c r="C24" s="24" t="s">
        <v>1</v>
      </c>
      <c r="D24" s="60">
        <f>D22*D23</f>
        <v>244000000</v>
      </c>
      <c r="E24" s="60">
        <f>E22*E23</f>
        <v>73200000</v>
      </c>
      <c r="F24" s="60">
        <f>F22*F23</f>
        <v>24400000</v>
      </c>
      <c r="G24" s="60">
        <f>G22*G23</f>
        <v>12200000</v>
      </c>
      <c r="H24" s="60">
        <f>H22*H23</f>
        <v>0</v>
      </c>
      <c r="I24" s="66">
        <f>SUM(D24:G24)</f>
        <v>353800000</v>
      </c>
    </row>
    <row r="25" spans="2:10" ht="17.5" customHeight="1" thickBot="1" x14ac:dyDescent="0.5">
      <c r="H25" s="67"/>
    </row>
    <row r="26" spans="2:10" x14ac:dyDescent="0.45">
      <c r="B26" s="82" t="s">
        <v>40</v>
      </c>
      <c r="C26" s="31">
        <v>46148</v>
      </c>
      <c r="D26" s="68"/>
      <c r="E26" s="68">
        <v>100905</v>
      </c>
      <c r="F26" s="32"/>
      <c r="G26" s="31"/>
      <c r="H26" s="68"/>
      <c r="I26" s="69">
        <f>SUM(D26:H26)</f>
        <v>100905</v>
      </c>
    </row>
    <row r="27" spans="2:10" ht="17.5" customHeight="1" thickBot="1" x14ac:dyDescent="0.5">
      <c r="B27" s="83"/>
      <c r="C27" s="33">
        <v>46161</v>
      </c>
      <c r="D27" s="60">
        <v>2549100</v>
      </c>
      <c r="E27" s="60"/>
      <c r="F27" s="60"/>
      <c r="G27" s="60"/>
      <c r="H27" s="60"/>
      <c r="I27" s="70">
        <f>SUM(D27:H27)</f>
        <v>2549100</v>
      </c>
      <c r="J27" s="71">
        <f>SUM(I26:I27)</f>
        <v>2650005</v>
      </c>
    </row>
    <row r="28" spans="2:10" x14ac:dyDescent="0.45">
      <c r="D28" s="62"/>
      <c r="E28" s="62"/>
      <c r="F28" s="62"/>
      <c r="G28" s="62"/>
      <c r="H28" s="62"/>
    </row>
    <row r="30" spans="2:10" x14ac:dyDescent="0.45">
      <c r="E30" s="1"/>
    </row>
  </sheetData>
  <mergeCells count="8">
    <mergeCell ref="B26:B27"/>
    <mergeCell ref="B22:B24"/>
    <mergeCell ref="I22:I23"/>
    <mergeCell ref="I2:I4"/>
    <mergeCell ref="B5:B7"/>
    <mergeCell ref="B8:B10"/>
    <mergeCell ref="B11:B19"/>
    <mergeCell ref="B2:B4"/>
  </mergeCells>
  <phoneticPr fontId="4" type="noConversion"/>
  <conditionalFormatting sqref="D15">
    <cfRule type="expression" dxfId="31" priority="49">
      <formula>#REF!+#REF!&gt;0</formula>
    </cfRule>
  </conditionalFormatting>
  <conditionalFormatting sqref="D16:D19">
    <cfRule type="expression" dxfId="30" priority="57">
      <formula>#REF!+#REF!&gt;0</formula>
    </cfRule>
  </conditionalFormatting>
  <conditionalFormatting sqref="D20:G21">
    <cfRule type="expression" dxfId="29" priority="58">
      <formula>B20+#REF!&gt;0</formula>
    </cfRule>
  </conditionalFormatting>
  <conditionalFormatting sqref="D12:I12">
    <cfRule type="expression" dxfId="28" priority="6" stopIfTrue="1">
      <formula>D12&gt;0</formula>
    </cfRule>
  </conditionalFormatting>
  <conditionalFormatting sqref="D12:I13">
    <cfRule type="expression" dxfId="27" priority="2">
      <formula>D12&lt;0</formula>
    </cfRule>
  </conditionalFormatting>
  <conditionalFormatting sqref="D13:I13">
    <cfRule type="expression" dxfId="26" priority="5">
      <formula>D13&gt;0</formula>
    </cfRule>
  </conditionalFormatting>
  <conditionalFormatting sqref="D14:I14">
    <cfRule type="expression" dxfId="25" priority="4">
      <formula>#REF!+C14&gt;0</formula>
    </cfRule>
  </conditionalFormatting>
  <conditionalFormatting sqref="E15:H15">
    <cfRule type="expression" dxfId="24" priority="3">
      <formula>C15+#REF!&gt;0</formula>
    </cfRule>
  </conditionalFormatting>
  <conditionalFormatting sqref="E16:H19">
    <cfRule type="expression" dxfId="23" priority="1">
      <formula>#REF!+#REF!&gt;0</formula>
    </cfRule>
  </conditionalFormatting>
  <conditionalFormatting sqref="H20:H21">
    <cfRule type="expression" dxfId="22" priority="15">
      <formula>F20+#REF!&gt;0</formula>
    </cfRule>
  </conditionalFormatting>
  <conditionalFormatting sqref="I15:I21">
    <cfRule type="expression" dxfId="21" priority="29">
      <formula>G15+#REF!&gt;0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workbookViewId="0">
      <selection activeCell="G43" sqref="G43"/>
    </sheetView>
  </sheetViews>
  <sheetFormatPr defaultRowHeight="17" x14ac:dyDescent="0.45"/>
  <cols>
    <col min="1" max="1" width="3.33203125" style="17" customWidth="1"/>
    <col min="2" max="2" width="11" style="17" bestFit="1" customWidth="1"/>
    <col min="3" max="3" width="13" style="17" bestFit="1" customWidth="1"/>
    <col min="4" max="4" width="39" style="17" customWidth="1"/>
    <col min="5" max="5" width="36.6640625" style="17" customWidth="1"/>
    <col min="6" max="6" width="13.83203125" style="17" bestFit="1" customWidth="1"/>
    <col min="7" max="7" width="10.58203125" style="17" bestFit="1" customWidth="1"/>
    <col min="8" max="8" width="14.25" style="17" bestFit="1" customWidth="1"/>
    <col min="9" max="9" width="13.1640625" style="17" bestFit="1" customWidth="1"/>
  </cols>
  <sheetData>
    <row r="1" spans="2:6" ht="17.5" customHeight="1" thickBot="1" x14ac:dyDescent="0.5"/>
    <row r="2" spans="2:6" x14ac:dyDescent="0.45">
      <c r="B2" s="89" t="s">
        <v>14</v>
      </c>
      <c r="C2" s="28" t="s">
        <v>15</v>
      </c>
      <c r="D2" s="29">
        <v>1</v>
      </c>
      <c r="E2" s="29">
        <v>2</v>
      </c>
      <c r="F2" s="86" t="s">
        <v>13</v>
      </c>
    </row>
    <row r="3" spans="2:6" x14ac:dyDescent="0.45">
      <c r="B3" s="85"/>
      <c r="C3" s="4" t="s">
        <v>16</v>
      </c>
      <c r="D3" s="7" t="s">
        <v>41</v>
      </c>
      <c r="E3" s="7"/>
      <c r="F3" s="88"/>
    </row>
    <row r="4" spans="2:6" ht="17.5" customHeight="1" thickBot="1" x14ac:dyDescent="0.5">
      <c r="B4" s="83"/>
      <c r="C4" s="24" t="s">
        <v>20</v>
      </c>
      <c r="D4" s="30" t="s">
        <v>42</v>
      </c>
      <c r="E4" s="30"/>
      <c r="F4" s="87"/>
    </row>
    <row r="5" spans="2:6" x14ac:dyDescent="0.45">
      <c r="B5" s="89" t="s">
        <v>43</v>
      </c>
      <c r="C5" s="19" t="s">
        <v>25</v>
      </c>
      <c r="D5" s="46">
        <v>1</v>
      </c>
      <c r="E5" s="46"/>
      <c r="F5" s="25">
        <f>SUM(A5:E5)</f>
        <v>1</v>
      </c>
    </row>
    <row r="6" spans="2:6" ht="17.5" customHeight="1" x14ac:dyDescent="0.45">
      <c r="B6" s="85"/>
      <c r="C6" s="38" t="s">
        <v>26</v>
      </c>
      <c r="D6" s="47">
        <v>0.9</v>
      </c>
      <c r="E6" s="47"/>
      <c r="F6" s="26"/>
    </row>
    <row r="7" spans="2:6" ht="17.5" customHeight="1" thickBot="1" x14ac:dyDescent="0.5">
      <c r="B7" s="83"/>
      <c r="C7" s="27" t="s">
        <v>44</v>
      </c>
      <c r="D7" s="48">
        <f>Assets!$C4*(D5)*D6</f>
        <v>114300000</v>
      </c>
      <c r="E7" s="48">
        <f>Assets!$C4*(E5)*E6</f>
        <v>0</v>
      </c>
      <c r="F7" s="54">
        <f>SUM(D7:E7)</f>
        <v>114300000</v>
      </c>
    </row>
    <row r="8" spans="2:6" ht="17.5" customHeight="1" x14ac:dyDescent="0.45">
      <c r="B8" s="89" t="s">
        <v>28</v>
      </c>
      <c r="C8" s="50" t="s">
        <v>29</v>
      </c>
      <c r="D8" s="51">
        <v>10356</v>
      </c>
      <c r="E8" s="51"/>
      <c r="F8" s="22"/>
    </row>
    <row r="9" spans="2:6" ht="17.5" customHeight="1" x14ac:dyDescent="0.45">
      <c r="B9" s="85"/>
      <c r="C9" s="52" t="s">
        <v>30</v>
      </c>
      <c r="D9" s="53">
        <v>10053</v>
      </c>
      <c r="E9" s="53"/>
      <c r="F9" s="23"/>
    </row>
    <row r="10" spans="2:6" ht="17.5" customHeight="1" thickBot="1" x14ac:dyDescent="0.5">
      <c r="B10" s="83"/>
      <c r="C10" s="24" t="s">
        <v>1</v>
      </c>
      <c r="D10" s="48">
        <f>D9*D8</f>
        <v>104108868</v>
      </c>
      <c r="E10" s="48">
        <f>E9*E8</f>
        <v>0</v>
      </c>
      <c r="F10" s="54">
        <f>SUM(D10:E10)</f>
        <v>104108868</v>
      </c>
    </row>
    <row r="11" spans="2:6" x14ac:dyDescent="0.45">
      <c r="B11" s="98" t="s">
        <v>31</v>
      </c>
      <c r="C11" s="19" t="s">
        <v>32</v>
      </c>
      <c r="D11" s="55">
        <v>11040</v>
      </c>
      <c r="E11" s="72"/>
      <c r="F11" s="37"/>
    </row>
    <row r="12" spans="2:6" x14ac:dyDescent="0.45">
      <c r="B12" s="85"/>
      <c r="C12" s="4" t="s">
        <v>33</v>
      </c>
      <c r="D12" s="5">
        <f>IF(D9&gt;0, (D11-D9)/D9, 0)</f>
        <v>9.8179647866308561E-2</v>
      </c>
      <c r="E12" s="5">
        <f>IF(E9&gt;0, (E11-E9)/E9, 0)</f>
        <v>0</v>
      </c>
      <c r="F12" s="20">
        <f>IFERROR(F13/F10, 0)</f>
        <v>9.8179647866308561E-2</v>
      </c>
    </row>
    <row r="13" spans="2:6" x14ac:dyDescent="0.45">
      <c r="B13" s="85"/>
      <c r="C13" s="38" t="s">
        <v>34</v>
      </c>
      <c r="D13" s="57">
        <f>D10*D12</f>
        <v>10221372</v>
      </c>
      <c r="E13" s="57">
        <f>E10*E12</f>
        <v>0</v>
      </c>
      <c r="F13" s="58">
        <f>SUM(D13:E13)</f>
        <v>10221372</v>
      </c>
    </row>
    <row r="14" spans="2:6" x14ac:dyDescent="0.45">
      <c r="B14" s="85"/>
      <c r="C14" s="38" t="s">
        <v>45</v>
      </c>
      <c r="D14" s="57">
        <f>D7-D10</f>
        <v>10191132</v>
      </c>
      <c r="E14" s="39">
        <f>E7-E10</f>
        <v>0</v>
      </c>
      <c r="F14" s="59">
        <f>SUM(A14:D14)</f>
        <v>10191132</v>
      </c>
    </row>
    <row r="15" spans="2:6" ht="17.5" customHeight="1" x14ac:dyDescent="0.45">
      <c r="B15" s="85"/>
      <c r="C15" s="38" t="s">
        <v>46</v>
      </c>
      <c r="D15" s="57">
        <f>IFERROR((D7-D10)/D11, 0)</f>
        <v>923.1097826086957</v>
      </c>
      <c r="E15" s="57">
        <f>IFERROR((E7-E10)/E11, 0)</f>
        <v>0</v>
      </c>
      <c r="F15" s="58">
        <f>IFERROR((F7-F10)/F11, 0)</f>
        <v>0</v>
      </c>
    </row>
    <row r="16" spans="2:6" s="18" customFormat="1" ht="17.5" customHeight="1" x14ac:dyDescent="0.45">
      <c r="B16" s="85"/>
      <c r="C16" s="10">
        <v>0.4</v>
      </c>
      <c r="D16" s="39">
        <f>D$15*Assets!$J3</f>
        <v>369.2439130434783</v>
      </c>
      <c r="E16" s="39">
        <f>E$15*Assets!$J3</f>
        <v>0</v>
      </c>
      <c r="F16" s="58"/>
    </row>
    <row r="17" spans="2:9" s="18" customFormat="1" ht="17.5" customHeight="1" x14ac:dyDescent="0.45">
      <c r="B17" s="85"/>
      <c r="C17" s="10">
        <v>0.3</v>
      </c>
      <c r="D17" s="39">
        <f>D$15*Assets!$J4</f>
        <v>276.9329347826087</v>
      </c>
      <c r="E17" s="39">
        <f>E$15*Assets!$J4</f>
        <v>0</v>
      </c>
      <c r="F17" s="58"/>
    </row>
    <row r="18" spans="2:9" s="18" customFormat="1" ht="17.5" customHeight="1" x14ac:dyDescent="0.45">
      <c r="B18" s="85"/>
      <c r="C18" s="10">
        <v>0.2</v>
      </c>
      <c r="D18" s="39">
        <f>D$15*Assets!$J5</f>
        <v>184.62195652173915</v>
      </c>
      <c r="E18" s="39">
        <f>E$15*Assets!$J5</f>
        <v>0</v>
      </c>
      <c r="F18" s="58"/>
    </row>
    <row r="19" spans="2:9" s="18" customFormat="1" ht="17.5" customHeight="1" thickBot="1" x14ac:dyDescent="0.5">
      <c r="B19" s="99"/>
      <c r="C19" s="21">
        <v>0.1</v>
      </c>
      <c r="D19" s="60">
        <f>D$15*Assets!$J6</f>
        <v>92.310978260869575</v>
      </c>
      <c r="E19" s="60">
        <f>E$15*Assets!$J6</f>
        <v>0</v>
      </c>
      <c r="F19" s="61"/>
    </row>
    <row r="20" spans="2:9" s="18" customFormat="1" ht="17.5" customHeight="1" x14ac:dyDescent="0.45">
      <c r="C20" s="6"/>
      <c r="D20" s="62">
        <f>D11*D16</f>
        <v>4076452.8000000003</v>
      </c>
      <c r="E20" s="63"/>
      <c r="F20" s="63"/>
    </row>
    <row r="21" spans="2:9" s="18" customFormat="1" ht="17.5" customHeight="1" x14ac:dyDescent="0.45">
      <c r="C21" s="6"/>
      <c r="D21" s="62"/>
      <c r="E21" s="63"/>
      <c r="F21" s="63"/>
    </row>
    <row r="22" spans="2:9" x14ac:dyDescent="0.45">
      <c r="B22" s="80" t="s">
        <v>36</v>
      </c>
      <c r="C22" s="4" t="s">
        <v>37</v>
      </c>
      <c r="D22" s="73">
        <f>D8+D15</f>
        <v>11279.109782608695</v>
      </c>
      <c r="E22" s="73">
        <f>E8+E15</f>
        <v>0</v>
      </c>
      <c r="F22" s="97" t="s">
        <v>38</v>
      </c>
    </row>
    <row r="23" spans="2:9" x14ac:dyDescent="0.45">
      <c r="B23" s="95"/>
      <c r="C23" s="4" t="s">
        <v>39</v>
      </c>
      <c r="D23" s="65">
        <f>IF(D10&gt;0,(((D8*D9)+(D15*D11))/(D8+D15)),0)</f>
        <v>10133.778481014488</v>
      </c>
      <c r="E23" s="65">
        <f>IF(E10&gt;0,(((E8*E9)+(E15*E11))/(E8+E15)),0)</f>
        <v>0</v>
      </c>
      <c r="F23" s="96"/>
    </row>
    <row r="24" spans="2:9" ht="17.5" customHeight="1" x14ac:dyDescent="0.45">
      <c r="B24" s="96"/>
      <c r="C24" s="38" t="s">
        <v>47</v>
      </c>
      <c r="D24" s="74">
        <f>D22*D23</f>
        <v>114299999.99999999</v>
      </c>
      <c r="E24" s="74">
        <f>E22*E23</f>
        <v>0</v>
      </c>
      <c r="F24" s="75">
        <f>SUM(D24:E24)</f>
        <v>114299999.99999999</v>
      </c>
    </row>
    <row r="26" spans="2:9" ht="17" customHeight="1" x14ac:dyDescent="0.45">
      <c r="B26" s="93" t="s">
        <v>40</v>
      </c>
      <c r="C26" s="11">
        <v>46148</v>
      </c>
      <c r="D26" s="39">
        <v>1434641</v>
      </c>
      <c r="E26" s="39">
        <v>40664</v>
      </c>
      <c r="F26" s="76">
        <f>SUM(D26:E26)</f>
        <v>1475305</v>
      </c>
      <c r="G26" s="71">
        <f>SUM(F26)</f>
        <v>1475305</v>
      </c>
      <c r="H26" s="13"/>
    </row>
    <row r="27" spans="2:9" x14ac:dyDescent="0.45">
      <c r="B27" s="94"/>
      <c r="C27" s="11">
        <v>46175</v>
      </c>
      <c r="D27" s="39">
        <v>1559376</v>
      </c>
      <c r="E27" s="39">
        <v>0</v>
      </c>
      <c r="F27" s="76">
        <f>SUM(D27:E27)</f>
        <v>1559376</v>
      </c>
      <c r="G27" s="71">
        <f>SUM(F27)</f>
        <v>1559376</v>
      </c>
      <c r="H27" s="77"/>
      <c r="I27" s="77"/>
    </row>
    <row r="28" spans="2:9" x14ac:dyDescent="0.45">
      <c r="D28" s="62"/>
      <c r="H28" s="77"/>
      <c r="I28" s="77"/>
    </row>
    <row r="29" spans="2:9" x14ac:dyDescent="0.45">
      <c r="D29" s="62"/>
    </row>
  </sheetData>
  <mergeCells count="8">
    <mergeCell ref="B26:B27"/>
    <mergeCell ref="B22:B24"/>
    <mergeCell ref="B5:B7"/>
    <mergeCell ref="F22:F23"/>
    <mergeCell ref="F2:F4"/>
    <mergeCell ref="B8:B10"/>
    <mergeCell ref="B11:B19"/>
    <mergeCell ref="B2:B4"/>
  </mergeCells>
  <phoneticPr fontId="4" type="noConversion"/>
  <conditionalFormatting sqref="D16:D19">
    <cfRule type="expression" dxfId="20" priority="3">
      <formula>#REF!+#REF!&gt;0</formula>
    </cfRule>
  </conditionalFormatting>
  <conditionalFormatting sqref="D15:E15">
    <cfRule type="expression" dxfId="19" priority="2">
      <formula>#REF!+#REF!&gt;0</formula>
    </cfRule>
  </conditionalFormatting>
  <conditionalFormatting sqref="D12:F12">
    <cfRule type="expression" dxfId="18" priority="9" stopIfTrue="1">
      <formula>D12&gt;0</formula>
    </cfRule>
  </conditionalFormatting>
  <conditionalFormatting sqref="D12:F13">
    <cfRule type="expression" dxfId="17" priority="7">
      <formula>D12&lt;0</formula>
    </cfRule>
  </conditionalFormatting>
  <conditionalFormatting sqref="D13:F13">
    <cfRule type="expression" dxfId="16" priority="17">
      <formula>D13&gt;0</formula>
    </cfRule>
  </conditionalFormatting>
  <conditionalFormatting sqref="D14:F14">
    <cfRule type="expression" dxfId="15" priority="13">
      <formula>#REF!+C14&gt;0</formula>
    </cfRule>
  </conditionalFormatting>
  <conditionalFormatting sqref="E16:E19">
    <cfRule type="expression" dxfId="14" priority="1">
      <formula>#REF!+#REF!&gt;0</formula>
    </cfRule>
  </conditionalFormatting>
  <conditionalFormatting sqref="F15:F19 E20:F21">
    <cfRule type="expression" dxfId="13" priority="12">
      <formula>C15+#REF!&gt;0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>
      <selection activeCell="H29" sqref="H29"/>
    </sheetView>
  </sheetViews>
  <sheetFormatPr defaultRowHeight="17" x14ac:dyDescent="0.45"/>
  <cols>
    <col min="1" max="1" width="3.6640625" style="17" customWidth="1"/>
    <col min="2" max="2" width="11" style="17" bestFit="1" customWidth="1"/>
    <col min="3" max="3" width="13" style="17" bestFit="1" customWidth="1"/>
    <col min="4" max="4" width="31.9140625" style="17" bestFit="1" customWidth="1"/>
    <col min="5" max="5" width="26.9140625" style="17" customWidth="1"/>
    <col min="6" max="6" width="12.6640625" style="17" bestFit="1" customWidth="1"/>
    <col min="7" max="7" width="9.08203125" style="17" bestFit="1" customWidth="1"/>
  </cols>
  <sheetData>
    <row r="1" spans="2:6" ht="17.5" customHeight="1" thickBot="1" x14ac:dyDescent="0.5"/>
    <row r="2" spans="2:6" x14ac:dyDescent="0.45">
      <c r="B2" s="89" t="s">
        <v>14</v>
      </c>
      <c r="C2" s="28" t="s">
        <v>15</v>
      </c>
      <c r="D2" s="29">
        <v>1</v>
      </c>
      <c r="E2" s="29">
        <v>2</v>
      </c>
      <c r="F2" s="86" t="s">
        <v>13</v>
      </c>
    </row>
    <row r="3" spans="2:6" x14ac:dyDescent="0.45">
      <c r="B3" s="85"/>
      <c r="C3" s="4" t="s">
        <v>16</v>
      </c>
      <c r="D3" s="7" t="s">
        <v>48</v>
      </c>
      <c r="E3" s="8"/>
      <c r="F3" s="88"/>
    </row>
    <row r="4" spans="2:6" ht="17.5" customHeight="1" thickBot="1" x14ac:dyDescent="0.5">
      <c r="B4" s="83"/>
      <c r="C4" s="24" t="s">
        <v>20</v>
      </c>
      <c r="D4" s="30" t="s">
        <v>49</v>
      </c>
      <c r="E4" s="30"/>
      <c r="F4" s="87"/>
    </row>
    <row r="5" spans="2:6" x14ac:dyDescent="0.45">
      <c r="B5" s="89" t="s">
        <v>43</v>
      </c>
      <c r="C5" s="19" t="s">
        <v>25</v>
      </c>
      <c r="D5" s="46">
        <v>1</v>
      </c>
      <c r="E5" s="46"/>
      <c r="F5" s="25">
        <f>SUM(A5:E5)</f>
        <v>1</v>
      </c>
    </row>
    <row r="6" spans="2:6" x14ac:dyDescent="0.45">
      <c r="B6" s="85"/>
      <c r="C6" s="38" t="s">
        <v>26</v>
      </c>
      <c r="D6" s="47">
        <v>1</v>
      </c>
      <c r="E6" s="47"/>
      <c r="F6" s="26"/>
    </row>
    <row r="7" spans="2:6" ht="17.5" customHeight="1" thickBot="1" x14ac:dyDescent="0.5">
      <c r="B7" s="83"/>
      <c r="C7" s="27" t="s">
        <v>44</v>
      </c>
      <c r="D7" s="48">
        <f>Assets!$C5*(D5)*D6</f>
        <v>13500000</v>
      </c>
      <c r="E7" s="48">
        <f>Assets!$C5*(E5)*E6</f>
        <v>0</v>
      </c>
      <c r="F7" s="54">
        <f>SUM(A7:D7)</f>
        <v>13500000</v>
      </c>
    </row>
    <row r="8" spans="2:6" x14ac:dyDescent="0.45">
      <c r="B8" s="89" t="s">
        <v>28</v>
      </c>
      <c r="C8" s="50" t="s">
        <v>29</v>
      </c>
      <c r="D8" s="51">
        <v>1771</v>
      </c>
      <c r="E8" s="51"/>
      <c r="F8" s="22"/>
    </row>
    <row r="9" spans="2:6" x14ac:dyDescent="0.45">
      <c r="B9" s="85"/>
      <c r="C9" s="52" t="s">
        <v>30</v>
      </c>
      <c r="D9" s="53">
        <v>7688</v>
      </c>
      <c r="E9" s="53"/>
      <c r="F9" s="23"/>
    </row>
    <row r="10" spans="2:6" ht="17.5" customHeight="1" thickBot="1" x14ac:dyDescent="0.5">
      <c r="B10" s="83"/>
      <c r="C10" s="24" t="s">
        <v>1</v>
      </c>
      <c r="D10" s="48">
        <f>D9*D8</f>
        <v>13615448</v>
      </c>
      <c r="E10" s="48">
        <f>E9*E8</f>
        <v>0</v>
      </c>
      <c r="F10" s="54">
        <f>SUM(A10:D10)</f>
        <v>13615448</v>
      </c>
    </row>
    <row r="11" spans="2:6" x14ac:dyDescent="0.45">
      <c r="B11" s="98" t="s">
        <v>31</v>
      </c>
      <c r="C11" s="19" t="s">
        <v>32</v>
      </c>
      <c r="D11" s="55">
        <v>7800</v>
      </c>
      <c r="E11" s="78"/>
      <c r="F11" s="37"/>
    </row>
    <row r="12" spans="2:6" x14ac:dyDescent="0.45">
      <c r="B12" s="85"/>
      <c r="C12" s="4" t="s">
        <v>33</v>
      </c>
      <c r="D12" s="5">
        <f>IF(D9&gt;0, (D11-D9)/D9, 0)</f>
        <v>1.4568158168574402E-2</v>
      </c>
      <c r="E12" s="5">
        <f>IF(E9&gt;0, (E11-E9)/E9, 0)</f>
        <v>0</v>
      </c>
      <c r="F12" s="20">
        <f>IFERROR(F13/F10, 0)</f>
        <v>1.4568158168574402E-2</v>
      </c>
    </row>
    <row r="13" spans="2:6" x14ac:dyDescent="0.45">
      <c r="B13" s="85"/>
      <c r="C13" s="38" t="s">
        <v>34</v>
      </c>
      <c r="D13" s="57">
        <f>D10*D12</f>
        <v>198352</v>
      </c>
      <c r="E13" s="57">
        <f>E10*E12</f>
        <v>0</v>
      </c>
      <c r="F13" s="58">
        <f>SUM(A13:D13)</f>
        <v>198352</v>
      </c>
    </row>
    <row r="14" spans="2:6" x14ac:dyDescent="0.45">
      <c r="B14" s="85"/>
      <c r="C14" s="38" t="s">
        <v>50</v>
      </c>
      <c r="D14" s="39">
        <f>D7-D10</f>
        <v>-115448</v>
      </c>
      <c r="E14" s="39">
        <f>E7-E10</f>
        <v>0</v>
      </c>
      <c r="F14" s="59">
        <f>SUM(A14:D14)</f>
        <v>-115448</v>
      </c>
    </row>
    <row r="15" spans="2:6" x14ac:dyDescent="0.45">
      <c r="B15" s="85"/>
      <c r="C15" s="38" t="s">
        <v>35</v>
      </c>
      <c r="D15" s="57">
        <f>IFERROR((D7-D10)/D11, 0)</f>
        <v>-14.801025641025641</v>
      </c>
      <c r="E15" s="57">
        <f>IFERROR((E7-E10)/E11, 0)</f>
        <v>0</v>
      </c>
      <c r="F15" s="58">
        <f>IFERROR((F7-F10)/F11, 0)</f>
        <v>0</v>
      </c>
    </row>
    <row r="16" spans="2:6" s="18" customFormat="1" x14ac:dyDescent="0.45">
      <c r="B16" s="85"/>
      <c r="C16" s="10">
        <v>0.4</v>
      </c>
      <c r="D16" s="39">
        <f>D$15*Assets!$J3</f>
        <v>-5.920410256410257</v>
      </c>
      <c r="E16" s="39">
        <f>E$15*Assets!$J3</f>
        <v>0</v>
      </c>
      <c r="F16" s="58"/>
    </row>
    <row r="17" spans="2:7" s="18" customFormat="1" x14ac:dyDescent="0.45">
      <c r="B17" s="85"/>
      <c r="C17" s="10">
        <v>0.3</v>
      </c>
      <c r="D17" s="39">
        <f>D$15*Assets!$J4</f>
        <v>-4.4403076923076918</v>
      </c>
      <c r="E17" s="39">
        <f>E$15*Assets!$J4</f>
        <v>0</v>
      </c>
      <c r="F17" s="58"/>
    </row>
    <row r="18" spans="2:7" s="18" customFormat="1" x14ac:dyDescent="0.45">
      <c r="B18" s="85"/>
      <c r="C18" s="10">
        <v>0.2</v>
      </c>
      <c r="D18" s="39">
        <f>D$15*Assets!$J5</f>
        <v>-2.9602051282051285</v>
      </c>
      <c r="E18" s="39">
        <f>E$15*Assets!$J5</f>
        <v>0</v>
      </c>
      <c r="F18" s="58"/>
    </row>
    <row r="19" spans="2:7" s="18" customFormat="1" ht="17.5" customHeight="1" thickBot="1" x14ac:dyDescent="0.5">
      <c r="B19" s="99"/>
      <c r="C19" s="21">
        <v>0.1</v>
      </c>
      <c r="D19" s="60">
        <f>D$15*Assets!$J6</f>
        <v>-1.4801025641025642</v>
      </c>
      <c r="E19" s="60">
        <f>E$15*Assets!$J6</f>
        <v>0</v>
      </c>
      <c r="F19" s="61"/>
    </row>
    <row r="20" spans="2:7" s="18" customFormat="1" x14ac:dyDescent="0.45">
      <c r="C20" s="6"/>
      <c r="D20" s="62">
        <f>D11*D16</f>
        <v>-46179.200000000004</v>
      </c>
      <c r="E20" s="63"/>
      <c r="F20" s="63"/>
    </row>
    <row r="21" spans="2:7" s="18" customFormat="1" x14ac:dyDescent="0.45">
      <c r="C21" s="6"/>
      <c r="D21" s="63"/>
      <c r="E21" s="63"/>
      <c r="F21" s="63"/>
    </row>
    <row r="22" spans="2:7" x14ac:dyDescent="0.45">
      <c r="B22" s="80" t="s">
        <v>36</v>
      </c>
      <c r="C22" s="4" t="s">
        <v>37</v>
      </c>
      <c r="D22" s="73">
        <f>D8+D15</f>
        <v>1756.1989743589743</v>
      </c>
      <c r="E22" s="73">
        <f>E8+E15</f>
        <v>0</v>
      </c>
      <c r="F22" s="97" t="s">
        <v>38</v>
      </c>
    </row>
    <row r="23" spans="2:7" x14ac:dyDescent="0.45">
      <c r="B23" s="95"/>
      <c r="C23" s="4" t="s">
        <v>39</v>
      </c>
      <c r="D23" s="65">
        <f>IF(D10&gt;0,(((D8*D9)+(D15*D11))/(D8+D15)),0)</f>
        <v>7687.0560779866082</v>
      </c>
      <c r="E23" s="65">
        <f>IF(E10&gt;0,(((E8*E9)+(E15*E11))/(E8+E15)),0)</f>
        <v>0</v>
      </c>
      <c r="F23" s="96"/>
    </row>
    <row r="24" spans="2:7" x14ac:dyDescent="0.45">
      <c r="B24" s="96"/>
      <c r="C24" s="38" t="s">
        <v>47</v>
      </c>
      <c r="D24" s="74">
        <f>D22*D23</f>
        <v>13500000</v>
      </c>
      <c r="E24" s="74">
        <f>E22*E23</f>
        <v>0</v>
      </c>
      <c r="F24" s="75">
        <f>SUM(A24:D24)</f>
        <v>13500000</v>
      </c>
    </row>
    <row r="26" spans="2:7" x14ac:dyDescent="0.45">
      <c r="B26" s="93" t="s">
        <v>40</v>
      </c>
      <c r="C26" s="11">
        <v>46161</v>
      </c>
      <c r="D26" s="39">
        <v>136591</v>
      </c>
      <c r="E26" s="11"/>
      <c r="F26" s="76">
        <f>SUM(D26:E26)</f>
        <v>136591</v>
      </c>
      <c r="G26" s="71">
        <f>SUM(F26)</f>
        <v>136591</v>
      </c>
    </row>
    <row r="27" spans="2:7" x14ac:dyDescent="0.45">
      <c r="B27" s="94"/>
      <c r="C27" s="38"/>
      <c r="D27" s="39"/>
      <c r="E27" s="39"/>
      <c r="F27" s="79">
        <f>SUM(D27:E27)</f>
        <v>0</v>
      </c>
    </row>
  </sheetData>
  <mergeCells count="8">
    <mergeCell ref="B26:B27"/>
    <mergeCell ref="B22:B24"/>
    <mergeCell ref="B5:B7"/>
    <mergeCell ref="F22:F23"/>
    <mergeCell ref="F2:F4"/>
    <mergeCell ref="B8:B10"/>
    <mergeCell ref="B11:B19"/>
    <mergeCell ref="B2:B4"/>
  </mergeCells>
  <phoneticPr fontId="4" type="noConversion"/>
  <conditionalFormatting sqref="D15">
    <cfRule type="expression" dxfId="12" priority="3">
      <formula>#REF!+#REF!&gt;0</formula>
    </cfRule>
  </conditionalFormatting>
  <conditionalFormatting sqref="D16:D19">
    <cfRule type="expression" dxfId="11" priority="4">
      <formula>#REF!+#REF!&gt;0</formula>
    </cfRule>
  </conditionalFormatting>
  <conditionalFormatting sqref="D12:E12">
    <cfRule type="expression" dxfId="10" priority="20" stopIfTrue="1">
      <formula>D12&gt;0</formula>
    </cfRule>
  </conditionalFormatting>
  <conditionalFormatting sqref="D12:E13">
    <cfRule type="expression" dxfId="9" priority="17">
      <formula>D12&lt;0</formula>
    </cfRule>
  </conditionalFormatting>
  <conditionalFormatting sqref="D13:E13">
    <cfRule type="expression" dxfId="8" priority="18">
      <formula>D13&gt;0</formula>
    </cfRule>
  </conditionalFormatting>
  <conditionalFormatting sqref="D14:F14">
    <cfRule type="expression" dxfId="7" priority="14">
      <formula>#REF!+C14&gt;0</formula>
    </cfRule>
  </conditionalFormatting>
  <conditionalFormatting sqref="E15:E19">
    <cfRule type="expression" dxfId="6" priority="1">
      <formula>#REF!+#REF!&gt;0</formula>
    </cfRule>
  </conditionalFormatting>
  <conditionalFormatting sqref="F12">
    <cfRule type="expression" dxfId="5" priority="9">
      <formula>F12&lt;0</formula>
    </cfRule>
    <cfRule type="expression" dxfId="4" priority="10" stopIfTrue="1">
      <formula>F12&gt;0</formula>
    </cfRule>
  </conditionalFormatting>
  <conditionalFormatting sqref="F13">
    <cfRule type="expression" dxfId="3" priority="11">
      <formula>E13&lt;0</formula>
    </cfRule>
    <cfRule type="expression" dxfId="2" priority="12">
      <formula>E13&gt;0</formula>
    </cfRule>
  </conditionalFormatting>
  <conditionalFormatting sqref="F15 D20:F21">
    <cfRule type="expression" dxfId="1" priority="13">
      <formula>B15+#REF!&gt;0</formula>
    </cfRule>
  </conditionalFormatting>
  <conditionalFormatting sqref="F16:F19">
    <cfRule type="expression" dxfId="0" priority="8">
      <formula>D16+#REF!&gt;0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Assets</vt:lpstr>
      <vt:lpstr>CMA</vt:lpstr>
      <vt:lpstr>개인연금</vt:lpstr>
      <vt:lpstr>퇴직연금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HWANG</dc:creator>
  <cp:lastModifiedBy>TAEHO HWANG</cp:lastModifiedBy>
  <cp:revision>2</cp:revision>
  <cp:lastPrinted>2026-01-22T00:39:54Z</cp:lastPrinted>
  <dcterms:created xsi:type="dcterms:W3CDTF">2020-03-30T01:06:52Z</dcterms:created>
  <dcterms:modified xsi:type="dcterms:W3CDTF">2026-06-15T05:17:37Z</dcterms:modified>
  <cp:version>1300.0100.01</cp:version>
</cp:coreProperties>
</file>