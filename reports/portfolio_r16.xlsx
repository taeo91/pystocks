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eoh\Downloads\"/>
    </mc:Choice>
  </mc:AlternateContent>
  <xr:revisionPtr revIDLastSave="0" documentId="13_ncr:1_{5A18F042-04AE-4A11-8CB4-D3004134C6E6}" xr6:coauthVersionLast="47" xr6:coauthVersionMax="47" xr10:uidLastSave="{00000000-0000-0000-0000-000000000000}"/>
  <bookViews>
    <workbookView xWindow="46700" yWindow="5550" windowWidth="24980" windowHeight="15910" tabRatio="661" activeTab="1" xr2:uid="{00000000-000D-0000-FFFF-FFFF00000000}"/>
  </bookViews>
  <sheets>
    <sheet name="Assets" sheetId="1" r:id="rId1"/>
    <sheet name="CMA" sheetId="2" r:id="rId2"/>
    <sheet name="개인연금" sheetId="3" r:id="rId3"/>
    <sheet name="퇴직연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" i="4" l="1"/>
  <c r="E14" i="4"/>
  <c r="D14" i="4"/>
  <c r="F14" i="4" s="1"/>
  <c r="F13" i="4" s="1"/>
  <c r="E13" i="4"/>
  <c r="D13" i="4"/>
  <c r="F11" i="4"/>
  <c r="E11" i="4"/>
  <c r="D11" i="4"/>
  <c r="F10" i="4"/>
  <c r="E10" i="4"/>
  <c r="D10" i="4"/>
  <c r="F5" i="4"/>
  <c r="E19" i="3"/>
  <c r="E14" i="3"/>
  <c r="D14" i="3"/>
  <c r="F14" i="3" s="1"/>
  <c r="F13" i="3" s="1"/>
  <c r="E13" i="3"/>
  <c r="D13" i="3"/>
  <c r="F10" i="3"/>
  <c r="E11" i="3" s="1"/>
  <c r="E10" i="3"/>
  <c r="D10" i="3"/>
  <c r="F5" i="3"/>
  <c r="H19" i="2"/>
  <c r="G19" i="2"/>
  <c r="F19" i="2"/>
  <c r="H14" i="2"/>
  <c r="G14" i="2"/>
  <c r="F14" i="2"/>
  <c r="H13" i="2"/>
  <c r="G13" i="2"/>
  <c r="F13" i="2"/>
  <c r="E13" i="2"/>
  <c r="D13" i="2"/>
  <c r="H10" i="2"/>
  <c r="G10" i="2"/>
  <c r="F10" i="2"/>
  <c r="E10" i="2"/>
  <c r="D10" i="2"/>
  <c r="I5" i="2"/>
  <c r="B10" i="1"/>
  <c r="D10" i="1" s="1"/>
  <c r="D7" i="4" s="1"/>
  <c r="B7" i="1"/>
  <c r="D7" i="1" s="1"/>
  <c r="D7" i="3" s="1"/>
  <c r="B4" i="1"/>
  <c r="D4" i="1" s="1"/>
  <c r="D14" i="2" l="1"/>
  <c r="E14" i="2"/>
  <c r="I10" i="2"/>
  <c r="D15" i="3"/>
  <c r="F15" i="3" s="1"/>
  <c r="D16" i="3"/>
  <c r="D19" i="3" s="1"/>
  <c r="E7" i="4"/>
  <c r="H7" i="2"/>
  <c r="H15" i="2" s="1"/>
  <c r="F7" i="2"/>
  <c r="F15" i="2" s="1"/>
  <c r="D7" i="2"/>
  <c r="D15" i="2" s="1"/>
  <c r="G7" i="2"/>
  <c r="G15" i="2" s="1"/>
  <c r="E7" i="2"/>
  <c r="E15" i="2" s="1"/>
  <c r="G16" i="2"/>
  <c r="G18" i="2" s="1"/>
  <c r="G20" i="2" s="1"/>
  <c r="D16" i="2"/>
  <c r="E7" i="3"/>
  <c r="E16" i="2"/>
  <c r="H16" i="2"/>
  <c r="H18" i="2" s="1"/>
  <c r="H20" i="2" s="1"/>
  <c r="E16" i="4"/>
  <c r="E18" i="4" s="1"/>
  <c r="E20" i="4" s="1"/>
  <c r="E15" i="4"/>
  <c r="F7" i="4"/>
  <c r="F16" i="4" s="1"/>
  <c r="D16" i="4"/>
  <c r="D15" i="4"/>
  <c r="F15" i="4" s="1"/>
  <c r="F7" i="3"/>
  <c r="F16" i="3" s="1"/>
  <c r="D11" i="3"/>
  <c r="F11" i="3" s="1"/>
  <c r="I14" i="2" l="1"/>
  <c r="D18" i="2"/>
  <c r="D25" i="2"/>
  <c r="D23" i="2"/>
  <c r="D24" i="2"/>
  <c r="D22" i="2"/>
  <c r="D18" i="3"/>
  <c r="D20" i="3" s="1"/>
  <c r="F20" i="3" s="1"/>
  <c r="I13" i="2"/>
  <c r="F11" i="2"/>
  <c r="G11" i="2"/>
  <c r="H11" i="2"/>
  <c r="E11" i="2"/>
  <c r="E24" i="2"/>
  <c r="E23" i="2"/>
  <c r="E25" i="2"/>
  <c r="E22" i="2"/>
  <c r="F16" i="2"/>
  <c r="F18" i="2" s="1"/>
  <c r="F20" i="2" s="1"/>
  <c r="E19" i="2"/>
  <c r="I15" i="2"/>
  <c r="I7" i="2"/>
  <c r="I16" i="2" s="1"/>
  <c r="E18" i="2"/>
  <c r="D19" i="2"/>
  <c r="D20" i="2" s="1"/>
  <c r="E15" i="3"/>
  <c r="E16" i="3"/>
  <c r="E18" i="3" s="1"/>
  <c r="E20" i="3" s="1"/>
  <c r="D19" i="4"/>
  <c r="D18" i="4"/>
  <c r="D20" i="4" s="1"/>
  <c r="F20" i="4" s="1"/>
  <c r="I11" i="2" l="1"/>
  <c r="E20" i="2"/>
  <c r="I20" i="2" s="1"/>
</calcChain>
</file>

<file path=xl/sharedStrings.xml><?xml version="1.0" encoding="utf-8"?>
<sst xmlns="http://schemas.openxmlformats.org/spreadsheetml/2006/main" count="101" uniqueCount="44">
  <si>
    <t>2026.03.26</t>
  </si>
  <si>
    <t>CMA</t>
  </si>
  <si>
    <t>현금보유비중</t>
  </si>
  <si>
    <t>투자가능금액</t>
  </si>
  <si>
    <t>순자산총액</t>
  </si>
  <si>
    <t>평가손익</t>
  </si>
  <si>
    <t>연금저축(신)</t>
  </si>
  <si>
    <t>투자금</t>
  </si>
  <si>
    <t>IRP</t>
  </si>
  <si>
    <t>매매비율</t>
  </si>
  <si>
    <t>ITEMs</t>
  </si>
  <si>
    <t>#</t>
  </si>
  <si>
    <t>합계</t>
  </si>
  <si>
    <t>코드</t>
  </si>
  <si>
    <t>498400</t>
  </si>
  <si>
    <t>091160</t>
  </si>
  <si>
    <t>종목</t>
  </si>
  <si>
    <t>KODEX 200타겟위클리커버드콜</t>
  </si>
  <si>
    <t>KODEX 반도체</t>
  </si>
  <si>
    <t>Plan</t>
  </si>
  <si>
    <t>투자비중</t>
  </si>
  <si>
    <t>매수목표</t>
  </si>
  <si>
    <t>투자한도</t>
  </si>
  <si>
    <t>Investment</t>
  </si>
  <si>
    <t>보유량</t>
  </si>
  <si>
    <t>평균단가</t>
  </si>
  <si>
    <t>비중</t>
  </si>
  <si>
    <t>매매</t>
  </si>
  <si>
    <t>현재가</t>
  </si>
  <si>
    <t>수익률</t>
  </si>
  <si>
    <t>수익</t>
  </si>
  <si>
    <t>추가매수</t>
  </si>
  <si>
    <t>목표</t>
  </si>
  <si>
    <t>목표수량</t>
  </si>
  <si>
    <t>투자금 목표</t>
  </si>
  <si>
    <t>목표평단가</t>
  </si>
  <si>
    <t xml:space="preserve"> </t>
  </si>
  <si>
    <t>494300</t>
  </si>
  <si>
    <t>KODEX 미국나스닥100데일리커버드콜OTM</t>
  </si>
  <si>
    <t>Plane</t>
  </si>
  <si>
    <t>매수한도</t>
  </si>
  <si>
    <t>목표투자금</t>
  </si>
  <si>
    <t>481060</t>
  </si>
  <si>
    <t>KODEX 미국30년국채타겟커버드콜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</si>
</sst>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12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1F4E79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45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9" fontId="0" fillId="0" borderId="1" xfId="0" applyNumberFormat="1" applyBorder="1" applyAlignment="1">
      <alignment vertical="center"/>
    </xf>
    <xf numFmtId="0" fontId="7" fillId="0" borderId="0" xfId="0" applyFont="1" applyAlignment="1"/>
    <xf numFmtId="0" fontId="3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5" fillId="3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49" fontId="3" fillId="2" borderId="1" xfId="5" applyNumberFormat="1" applyFont="1" applyFill="1" applyBorder="1" applyAlignment="1">
      <alignment horizontal="center"/>
    </xf>
    <xf numFmtId="49" fontId="0" fillId="2" borderId="1" xfId="5" applyNumberFormat="1" applyFont="1" applyFill="1" applyBorder="1" applyAlignment="1">
      <alignment horizontal="center"/>
    </xf>
    <xf numFmtId="0" fontId="3" fillId="0" borderId="1" xfId="0" applyFont="1" applyBorder="1" applyAlignment="1"/>
    <xf numFmtId="9" fontId="3" fillId="0" borderId="1" xfId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1" fontId="3" fillId="0" borderId="1" xfId="2" applyBorder="1" applyAlignment="1">
      <alignment vertical="center"/>
    </xf>
    <xf numFmtId="41" fontId="3" fillId="2" borderId="1" xfId="2" applyFill="1" applyBorder="1" applyAlignment="1">
      <alignment vertical="center"/>
    </xf>
    <xf numFmtId="176" fontId="2" fillId="2" borderId="1" xfId="1" applyNumberFormat="1" applyFont="1" applyFill="1" applyBorder="1" applyAlignment="1">
      <alignment vertical="center"/>
    </xf>
    <xf numFmtId="41" fontId="3" fillId="0" borderId="1" xfId="2" applyBorder="1" applyAlignment="1">
      <alignment horizontal="right" vertical="center"/>
    </xf>
    <xf numFmtId="41" fontId="3" fillId="0" borderId="1" xfId="0" applyNumberFormat="1" applyFont="1" applyBorder="1" applyAlignment="1">
      <alignment vertical="center"/>
    </xf>
    <xf numFmtId="41" fontId="0" fillId="0" borderId="1" xfId="2" applyFont="1" applyBorder="1" applyAlignment="1">
      <alignment horizontal="center" vertical="center"/>
    </xf>
    <xf numFmtId="41" fontId="2" fillId="2" borderId="1" xfId="2" applyFont="1" applyFill="1" applyBorder="1" applyAlignment="1">
      <alignment vertical="center"/>
    </xf>
    <xf numFmtId="41" fontId="2" fillId="2" borderId="1" xfId="2" applyFont="1" applyFill="1" applyBorder="1" applyAlignment="1">
      <alignment horizontal="right" vertical="center"/>
    </xf>
    <xf numFmtId="41" fontId="2" fillId="0" borderId="1" xfId="0" applyNumberFormat="1" applyFont="1" applyBorder="1" applyAlignment="1">
      <alignment vertical="center"/>
    </xf>
    <xf numFmtId="176" fontId="3" fillId="0" borderId="1" xfId="1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41" fontId="11" fillId="2" borderId="1" xfId="2" applyFont="1" applyFill="1" applyBorder="1" applyAlignment="1">
      <alignment vertical="center"/>
    </xf>
    <xf numFmtId="41" fontId="10" fillId="2" borderId="1" xfId="2" applyFont="1" applyFill="1" applyBorder="1" applyAlignment="1">
      <alignment vertical="center"/>
    </xf>
    <xf numFmtId="41" fontId="2" fillId="0" borderId="1" xfId="2" applyFont="1" applyBorder="1" applyAlignment="1">
      <alignment vertical="center"/>
    </xf>
    <xf numFmtId="41" fontId="2" fillId="0" borderId="0" xfId="2" applyFont="1" applyAlignment="1">
      <alignment vertical="center"/>
    </xf>
    <xf numFmtId="41" fontId="3" fillId="0" borderId="1" xfId="2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41" fontId="9" fillId="2" borderId="1" xfId="2" applyFont="1" applyFill="1" applyBorder="1" applyAlignment="1">
      <alignment vertical="center"/>
    </xf>
    <xf numFmtId="41" fontId="0" fillId="0" borderId="1" xfId="2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8" fillId="4" borderId="1" xfId="0" applyFont="1" applyFill="1" applyBorder="1" applyAlignment="1">
      <alignment horizontal="center" vertical="center"/>
    </xf>
    <xf numFmtId="41" fontId="8" fillId="4" borderId="1" xfId="2" applyFont="1" applyFill="1" applyBorder="1" applyAlignment="1">
      <alignment horizontal="center" vertical="center"/>
    </xf>
    <xf numFmtId="41" fontId="3" fillId="0" borderId="0" xfId="2" applyNumberFormat="1">
      <alignment vertical="center"/>
    </xf>
  </cellXfs>
  <cellStyles count="6">
    <cellStyle name="Normal" xfId="5" xr:uid="{00000000-0005-0000-0000-000005000000}"/>
    <cellStyle name="백분율" xfId="1" builtinId="5"/>
    <cellStyle name="쉼표 [0]" xfId="2" builtinId="6"/>
    <cellStyle name="쉼표 [0] 2" xfId="4" xr:uid="{00000000-0005-0000-0000-000004000000}"/>
    <cellStyle name="표준" xfId="0" builtinId="0"/>
    <cellStyle name="표준 2" xfId="3" xr:uid="{00000000-0005-0000-0000-000003000000}"/>
  </cellStyles>
  <dxfs count="28"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selection activeCell="G23" sqref="G23"/>
    </sheetView>
  </sheetViews>
  <sheetFormatPr defaultRowHeight="17" x14ac:dyDescent="0.45"/>
  <cols>
    <col min="2" max="5" width="14.25" style="13" bestFit="1" customWidth="1"/>
    <col min="6" max="6" width="11.75" style="13" bestFit="1" customWidth="1"/>
  </cols>
  <sheetData>
    <row r="1" spans="1:6" s="1" customFormat="1" x14ac:dyDescent="0.45"/>
    <row r="2" spans="1:6" x14ac:dyDescent="0.45">
      <c r="B2" s="5" t="s">
        <v>0</v>
      </c>
    </row>
    <row r="3" spans="1:6" x14ac:dyDescent="0.45">
      <c r="B3" s="6" t="s">
        <v>1</v>
      </c>
      <c r="C3" s="6" t="s">
        <v>2</v>
      </c>
      <c r="D3" s="7" t="s">
        <v>3</v>
      </c>
      <c r="E3" s="7" t="s">
        <v>4</v>
      </c>
      <c r="F3" s="7" t="s">
        <v>5</v>
      </c>
    </row>
    <row r="4" spans="1:6" x14ac:dyDescent="0.45">
      <c r="B4" s="20">
        <f>E4-F4</f>
        <v>1177917138</v>
      </c>
      <c r="C4" s="2">
        <v>0.6</v>
      </c>
      <c r="D4" s="20">
        <f>B4*(1-C4)</f>
        <v>471166855.20000005</v>
      </c>
      <c r="E4" s="21">
        <v>1179313980</v>
      </c>
      <c r="F4" s="21">
        <v>1396842</v>
      </c>
    </row>
    <row r="6" spans="1:6" x14ac:dyDescent="0.45">
      <c r="B6" s="6" t="s">
        <v>6</v>
      </c>
      <c r="C6" s="6" t="s">
        <v>2</v>
      </c>
      <c r="D6" s="7" t="s">
        <v>7</v>
      </c>
      <c r="E6" s="7" t="s">
        <v>4</v>
      </c>
      <c r="F6" s="7" t="s">
        <v>5</v>
      </c>
    </row>
    <row r="7" spans="1:6" x14ac:dyDescent="0.45">
      <c r="B7" s="20">
        <f>E7-F7</f>
        <v>116376587</v>
      </c>
      <c r="C7" s="2">
        <v>0</v>
      </c>
      <c r="D7" s="20">
        <f>B7*(1-C7)</f>
        <v>116376587</v>
      </c>
      <c r="E7" s="21">
        <v>116376587</v>
      </c>
      <c r="F7" s="21">
        <v>0</v>
      </c>
    </row>
    <row r="9" spans="1:6" x14ac:dyDescent="0.45">
      <c r="A9" s="3"/>
      <c r="B9" s="6" t="s">
        <v>8</v>
      </c>
      <c r="C9" s="6" t="s">
        <v>2</v>
      </c>
      <c r="D9" s="7" t="s">
        <v>7</v>
      </c>
      <c r="E9" s="7" t="s">
        <v>4</v>
      </c>
      <c r="F9" s="7" t="s">
        <v>5</v>
      </c>
    </row>
    <row r="10" spans="1:6" x14ac:dyDescent="0.45">
      <c r="B10" s="20">
        <f>E10-F10</f>
        <v>13756880</v>
      </c>
      <c r="C10" s="2">
        <v>0</v>
      </c>
      <c r="D10" s="20">
        <f>B10*(1-C10)</f>
        <v>13756880</v>
      </c>
      <c r="E10" s="21">
        <v>13756880</v>
      </c>
      <c r="F10" s="21">
        <v>0</v>
      </c>
    </row>
    <row r="12" spans="1:6" x14ac:dyDescent="0.45">
      <c r="B12" s="17" t="s">
        <v>9</v>
      </c>
    </row>
    <row r="13" spans="1:6" x14ac:dyDescent="0.45">
      <c r="B13" s="18">
        <v>0.4</v>
      </c>
    </row>
    <row r="14" spans="1:6" x14ac:dyDescent="0.45">
      <c r="B14" s="18">
        <v>0.3</v>
      </c>
    </row>
    <row r="15" spans="1:6" x14ac:dyDescent="0.45">
      <c r="B15" s="18">
        <v>0.2</v>
      </c>
    </row>
    <row r="16" spans="1:6" x14ac:dyDescent="0.45">
      <c r="B16" s="18">
        <v>0.1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6"/>
  <sheetViews>
    <sheetView tabSelected="1" workbookViewId="0">
      <selection activeCell="E27" sqref="E27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0.4140625" style="13" bestFit="1" customWidth="1"/>
    <col min="4" max="4" width="28.9140625" style="13" customWidth="1"/>
    <col min="5" max="5" width="24.4140625" style="13" customWidth="1"/>
    <col min="6" max="7" width="21.5" style="13" customWidth="1"/>
    <col min="8" max="8" width="20.83203125" style="13" customWidth="1"/>
    <col min="9" max="9" width="13.83203125" style="13" bestFit="1" customWidth="1"/>
  </cols>
  <sheetData>
    <row r="1" spans="2:9" ht="17.5" customHeight="1" x14ac:dyDescent="0.45"/>
    <row r="2" spans="2:9" x14ac:dyDescent="0.45">
      <c r="B2" s="42" t="s">
        <v>10</v>
      </c>
      <c r="C2" s="8" t="s">
        <v>11</v>
      </c>
      <c r="D2" s="7">
        <v>1</v>
      </c>
      <c r="E2" s="7">
        <v>2</v>
      </c>
      <c r="F2" s="7">
        <v>3</v>
      </c>
      <c r="G2" s="7">
        <v>4</v>
      </c>
      <c r="H2" s="7">
        <v>5</v>
      </c>
      <c r="I2" s="39" t="s">
        <v>12</v>
      </c>
    </row>
    <row r="3" spans="2:9" x14ac:dyDescent="0.45">
      <c r="B3" s="40"/>
      <c r="C3" s="8" t="s">
        <v>13</v>
      </c>
      <c r="D3" s="15" t="s">
        <v>14</v>
      </c>
      <c r="E3" s="16" t="s">
        <v>15</v>
      </c>
      <c r="F3" s="15"/>
      <c r="G3" s="15"/>
      <c r="H3" s="15"/>
      <c r="I3" s="40"/>
    </row>
    <row r="4" spans="2:9" ht="17.5" customHeight="1" x14ac:dyDescent="0.45">
      <c r="B4" s="41"/>
      <c r="C4" s="8" t="s">
        <v>16</v>
      </c>
      <c r="D4" s="9" t="s">
        <v>17</v>
      </c>
      <c r="E4" s="9" t="s">
        <v>18</v>
      </c>
      <c r="F4" s="9"/>
      <c r="G4" s="9"/>
      <c r="H4" s="9"/>
      <c r="I4" s="41"/>
    </row>
    <row r="5" spans="2:9" x14ac:dyDescent="0.45">
      <c r="B5" s="42" t="s">
        <v>19</v>
      </c>
      <c r="C5" s="19" t="s">
        <v>20</v>
      </c>
      <c r="D5" s="22">
        <v>0.4</v>
      </c>
      <c r="E5" s="22">
        <v>0.3</v>
      </c>
      <c r="F5" s="22"/>
      <c r="G5" s="22"/>
      <c r="H5" s="22"/>
      <c r="I5" s="18">
        <f>SUM(D5:H5)</f>
        <v>0.7</v>
      </c>
    </row>
    <row r="6" spans="2:9" ht="17.5" customHeight="1" x14ac:dyDescent="0.45">
      <c r="B6" s="40"/>
      <c r="C6" s="19" t="s">
        <v>21</v>
      </c>
      <c r="D6" s="22">
        <v>0.4</v>
      </c>
      <c r="E6" s="22">
        <v>0.4</v>
      </c>
      <c r="F6" s="22"/>
      <c r="G6" s="22"/>
      <c r="H6" s="22"/>
      <c r="I6" s="18"/>
    </row>
    <row r="7" spans="2:9" ht="17.5" customHeight="1" x14ac:dyDescent="0.45">
      <c r="B7" s="41"/>
      <c r="C7" s="19" t="s">
        <v>22</v>
      </c>
      <c r="D7" s="23">
        <f>Assets!$D$4*(D5)*D6</f>
        <v>75386696.832000017</v>
      </c>
      <c r="E7" s="23">
        <f>Assets!$D$4*(E5)*E6</f>
        <v>56540022.624000005</v>
      </c>
      <c r="F7" s="23">
        <f>Assets!$D$4*(F5)*F6</f>
        <v>0</v>
      </c>
      <c r="G7" s="23">
        <f>Assets!$D$4*(G5)*G6</f>
        <v>0</v>
      </c>
      <c r="H7" s="23">
        <f>Assets!$D$4*(H5)*H6</f>
        <v>0</v>
      </c>
      <c r="I7" s="24">
        <f>SUM(D7:G7)</f>
        <v>131926719.45600003</v>
      </c>
    </row>
    <row r="8" spans="2:9" s="1" customFormat="1" ht="17.5" customHeight="1" x14ac:dyDescent="0.45">
      <c r="B8" s="42" t="s">
        <v>23</v>
      </c>
      <c r="C8" s="25" t="s">
        <v>24</v>
      </c>
      <c r="D8" s="26">
        <v>3100</v>
      </c>
      <c r="E8" s="26">
        <v>538</v>
      </c>
      <c r="F8" s="27"/>
      <c r="G8" s="26"/>
      <c r="H8" s="26"/>
      <c r="I8" s="10"/>
    </row>
    <row r="9" spans="2:9" s="1" customFormat="1" ht="17.5" customHeight="1" x14ac:dyDescent="0.45">
      <c r="B9" s="40"/>
      <c r="C9" s="25" t="s">
        <v>25</v>
      </c>
      <c r="D9" s="26">
        <v>18238</v>
      </c>
      <c r="E9" s="26">
        <v>105035</v>
      </c>
      <c r="F9" s="27"/>
      <c r="G9" s="26"/>
      <c r="H9" s="26"/>
      <c r="I9" s="10"/>
    </row>
    <row r="10" spans="2:9" ht="17.5" customHeight="1" x14ac:dyDescent="0.45">
      <c r="B10" s="40"/>
      <c r="C10" s="8" t="s">
        <v>7</v>
      </c>
      <c r="D10" s="23">
        <f>D9*D8</f>
        <v>56537800</v>
      </c>
      <c r="E10" s="23">
        <f>E9*E8</f>
        <v>56508830</v>
      </c>
      <c r="F10" s="23">
        <f>F9*F8</f>
        <v>0</v>
      </c>
      <c r="G10" s="23">
        <f>G9*G8</f>
        <v>0</v>
      </c>
      <c r="H10" s="23">
        <f>H9*H8</f>
        <v>0</v>
      </c>
      <c r="I10" s="28">
        <f>SUM(D10:G10)</f>
        <v>113046630</v>
      </c>
    </row>
    <row r="11" spans="2:9" ht="17.5" customHeight="1" x14ac:dyDescent="0.45">
      <c r="B11" s="41"/>
      <c r="C11" s="19" t="s">
        <v>26</v>
      </c>
      <c r="D11" s="14"/>
      <c r="E11" s="29">
        <f>E10/$I$10</f>
        <v>0.49987186703398412</v>
      </c>
      <c r="F11" s="29">
        <f>F10/$I$10</f>
        <v>0</v>
      </c>
      <c r="G11" s="29">
        <f>G10/$I$10</f>
        <v>0</v>
      </c>
      <c r="H11" s="29">
        <f>H10/$I$10</f>
        <v>0</v>
      </c>
      <c r="I11" s="30">
        <f>SUM(D11:G11)</f>
        <v>0.49987186703398412</v>
      </c>
    </row>
    <row r="12" spans="2:9" x14ac:dyDescent="0.45">
      <c r="B12" s="43" t="s">
        <v>27</v>
      </c>
      <c r="C12" s="19" t="s">
        <v>28</v>
      </c>
      <c r="D12" s="31">
        <v>18595</v>
      </c>
      <c r="E12" s="31">
        <v>106430</v>
      </c>
      <c r="F12" s="32"/>
      <c r="G12" s="32"/>
      <c r="H12" s="32"/>
      <c r="I12" s="19"/>
    </row>
    <row r="13" spans="2:9" x14ac:dyDescent="0.45">
      <c r="B13" s="40"/>
      <c r="C13" s="8" t="s">
        <v>29</v>
      </c>
      <c r="D13" s="11">
        <f>IF(D9&gt;0, (D12-D9)/D9, 0)</f>
        <v>1.9574514749424277E-2</v>
      </c>
      <c r="E13" s="11">
        <f>IF(E9&gt;0, (E12-E9)/E9, 0)</f>
        <v>1.3281287189984291E-2</v>
      </c>
      <c r="F13" s="11">
        <f>IF(F9&gt;0, (F12-F9)/F9, 0)</f>
        <v>0</v>
      </c>
      <c r="G13" s="11">
        <f>IF(G9&gt;0, (G12-G9)/G9, 0)</f>
        <v>0</v>
      </c>
      <c r="H13" s="11">
        <f>IF(H9&gt;0, (H12-H9)/H9, 0)</f>
        <v>0</v>
      </c>
      <c r="I13" s="11">
        <f>I14/I10</f>
        <v>1.642870733961729E-2</v>
      </c>
    </row>
    <row r="14" spans="2:9" x14ac:dyDescent="0.45">
      <c r="B14" s="40"/>
      <c r="C14" s="19" t="s">
        <v>30</v>
      </c>
      <c r="D14" s="33">
        <f>D10*D13</f>
        <v>1106700</v>
      </c>
      <c r="E14" s="33">
        <f>E10*E13</f>
        <v>750510</v>
      </c>
      <c r="F14" s="33">
        <f>F10*F13</f>
        <v>0</v>
      </c>
      <c r="G14" s="33">
        <f>G10*G13</f>
        <v>0</v>
      </c>
      <c r="H14" s="33">
        <f>H10*H13</f>
        <v>0</v>
      </c>
      <c r="I14" s="33">
        <f>SUM(D14:G14)</f>
        <v>1857210</v>
      </c>
    </row>
    <row r="15" spans="2:9" x14ac:dyDescent="0.45">
      <c r="B15" s="40"/>
      <c r="C15" s="19" t="s">
        <v>27</v>
      </c>
      <c r="D15" s="33">
        <f>D7-D10</f>
        <v>18848896.832000017</v>
      </c>
      <c r="E15" s="33">
        <f>E7-E10</f>
        <v>31192.624000005424</v>
      </c>
      <c r="F15" s="33">
        <f>F7-F10</f>
        <v>0</v>
      </c>
      <c r="G15" s="33">
        <f>G7-G10</f>
        <v>0</v>
      </c>
      <c r="H15" s="33">
        <f>H7-H10</f>
        <v>0</v>
      </c>
      <c r="I15" s="20">
        <f>SUM(D15:G15)</f>
        <v>18880089.456000023</v>
      </c>
    </row>
    <row r="16" spans="2:9" ht="17.5" customHeight="1" x14ac:dyDescent="0.45">
      <c r="B16" s="41"/>
      <c r="C16" s="19" t="s">
        <v>31</v>
      </c>
      <c r="D16" s="20">
        <f t="shared" ref="D16:I16" si="0">IFERROR((D7-D10)/D12, 0)</f>
        <v>1013.6540377520848</v>
      </c>
      <c r="E16" s="20">
        <f t="shared" si="0"/>
        <v>0.29308112374335643</v>
      </c>
      <c r="F16" s="20">
        <f t="shared" si="0"/>
        <v>0</v>
      </c>
      <c r="G16" s="20">
        <f t="shared" si="0"/>
        <v>0</v>
      </c>
      <c r="H16" s="20">
        <f t="shared" si="0"/>
        <v>0</v>
      </c>
      <c r="I16" s="33">
        <f t="shared" si="0"/>
        <v>0</v>
      </c>
    </row>
    <row r="17" spans="2:9" s="1" customFormat="1" ht="17.5" customHeight="1" x14ac:dyDescent="0.45">
      <c r="C17" s="12"/>
      <c r="D17" s="34"/>
      <c r="E17" s="34"/>
      <c r="F17" s="34"/>
      <c r="G17" s="34"/>
      <c r="H17" s="34"/>
      <c r="I17" s="34"/>
    </row>
    <row r="18" spans="2:9" x14ac:dyDescent="0.45">
      <c r="B18" s="43" t="s">
        <v>32</v>
      </c>
      <c r="C18" s="8" t="s">
        <v>33</v>
      </c>
      <c r="D18" s="23">
        <f>D8+D16</f>
        <v>4113.6540377520851</v>
      </c>
      <c r="E18" s="23">
        <f>E8+E16</f>
        <v>538.29308112374338</v>
      </c>
      <c r="F18" s="23">
        <f>F8+F16</f>
        <v>0</v>
      </c>
      <c r="G18" s="23">
        <f>G8+G16</f>
        <v>0</v>
      </c>
      <c r="H18" s="23">
        <f>H8+H16</f>
        <v>0</v>
      </c>
      <c r="I18" s="39" t="s">
        <v>34</v>
      </c>
    </row>
    <row r="19" spans="2:9" x14ac:dyDescent="0.45">
      <c r="B19" s="40"/>
      <c r="C19" s="8" t="s">
        <v>35</v>
      </c>
      <c r="D19" s="35">
        <f>IF(D10&gt;0,(((D8*D9)+(D16*D12))/(D8+D16)),0)</f>
        <v>18325.969111684277</v>
      </c>
      <c r="E19" s="35">
        <f>IF(E10&gt;0,(((E8*E9)+(E16*E12))/(E8+E16)),0)</f>
        <v>105035.7595270717</v>
      </c>
      <c r="F19" s="35">
        <f>IF(F10&gt;0,(((F8*F9)+(F16*F12))/(F8+F16)),0)</f>
        <v>0</v>
      </c>
      <c r="G19" s="35">
        <f>IF(G10&gt;0,(((G8*G9)+(G16*G12))/(G8+G16)),0)</f>
        <v>0</v>
      </c>
      <c r="H19" s="35">
        <f>IF(H10&gt;0,(((H8*H9)+(H16*H12))/(H8+H16)),0)</f>
        <v>0</v>
      </c>
      <c r="I19" s="41"/>
    </row>
    <row r="20" spans="2:9" ht="17.5" customHeight="1" x14ac:dyDescent="0.45">
      <c r="B20" s="41"/>
      <c r="C20" s="8" t="s">
        <v>7</v>
      </c>
      <c r="D20" s="20">
        <f>D18*D19</f>
        <v>75386696.832000017</v>
      </c>
      <c r="E20" s="20">
        <f>E18*E19</f>
        <v>56540022.624000005</v>
      </c>
      <c r="F20" s="20">
        <f>F18*F19</f>
        <v>0</v>
      </c>
      <c r="G20" s="20">
        <f>G18*G19</f>
        <v>0</v>
      </c>
      <c r="H20" s="20">
        <f>H18*H19</f>
        <v>0</v>
      </c>
      <c r="I20" s="36">
        <f>SUM(D20:G20)</f>
        <v>131926719.45600003</v>
      </c>
    </row>
    <row r="22" spans="2:9" x14ac:dyDescent="0.45">
      <c r="D22" s="44">
        <f>D$16*Assets!$B13</f>
        <v>405.46161510083397</v>
      </c>
      <c r="E22" s="44">
        <f>E$16*Assets!$B13</f>
        <v>0.11723244949734257</v>
      </c>
    </row>
    <row r="23" spans="2:9" x14ac:dyDescent="0.45">
      <c r="D23" s="44">
        <f>D$16*Assets!$B14</f>
        <v>304.09621132562546</v>
      </c>
      <c r="E23" s="44">
        <f>E$16*Assets!$B14</f>
        <v>8.7924337123006929E-2</v>
      </c>
    </row>
    <row r="24" spans="2:9" x14ac:dyDescent="0.45">
      <c r="D24" s="44">
        <f>D$16*Assets!$B15</f>
        <v>202.73080755041698</v>
      </c>
      <c r="E24" s="44">
        <f>E$16*Assets!$B15</f>
        <v>5.8616224748671286E-2</v>
      </c>
    </row>
    <row r="25" spans="2:9" x14ac:dyDescent="0.45">
      <c r="D25" s="44">
        <f>D$16*Assets!$B16</f>
        <v>101.36540377520849</v>
      </c>
      <c r="E25" s="44">
        <f>E$16*Assets!$B16</f>
        <v>2.9308112374335643E-2</v>
      </c>
      <c r="F25" s="4" t="s">
        <v>36</v>
      </c>
    </row>
    <row r="26" spans="2:9" x14ac:dyDescent="0.45">
      <c r="E26" s="44"/>
    </row>
  </sheetData>
  <mergeCells count="7">
    <mergeCell ref="I2:I4"/>
    <mergeCell ref="I18:I19"/>
    <mergeCell ref="B8:B11"/>
    <mergeCell ref="B12:B16"/>
    <mergeCell ref="B2:B4"/>
    <mergeCell ref="B18:B20"/>
    <mergeCell ref="B5:B7"/>
  </mergeCells>
  <phoneticPr fontId="4" type="noConversion"/>
  <conditionalFormatting sqref="D16:D17 H16:H17">
    <cfRule type="expression" dxfId="27" priority="14">
      <formula>#REF!+#REF!&gt;0</formula>
    </cfRule>
  </conditionalFormatting>
  <conditionalFormatting sqref="D15:E15">
    <cfRule type="expression" dxfId="26" priority="9">
      <formula>#REF!+C15&gt;0</formula>
    </cfRule>
  </conditionalFormatting>
  <conditionalFormatting sqref="D13:I13">
    <cfRule type="expression" dxfId="25" priority="5" stopIfTrue="1">
      <formula>D13&gt;0</formula>
    </cfRule>
  </conditionalFormatting>
  <conditionalFormatting sqref="D13:I14">
    <cfRule type="expression" dxfId="24" priority="2">
      <formula>D13&lt;0</formula>
    </cfRule>
  </conditionalFormatting>
  <conditionalFormatting sqref="D14:I14">
    <cfRule type="expression" dxfId="23" priority="3">
      <formula>D14&gt;0</formula>
    </cfRule>
  </conditionalFormatting>
  <conditionalFormatting sqref="E16:E17 I16:I17">
    <cfRule type="expression" dxfId="22" priority="21">
      <formula>C16+#REF!&gt;0</formula>
    </cfRule>
  </conditionalFormatting>
  <conditionalFormatting sqref="F15">
    <cfRule type="expression" dxfId="21" priority="48">
      <formula>#REF!+#REF!&gt;0</formula>
    </cfRule>
  </conditionalFormatting>
  <conditionalFormatting sqref="F16:F17">
    <cfRule type="expression" dxfId="20" priority="51">
      <formula>E16+#REF!&gt;0</formula>
    </cfRule>
  </conditionalFormatting>
  <conditionalFormatting sqref="G16:G17">
    <cfRule type="expression" dxfId="19" priority="50">
      <formula>#REF!+#REF!&gt;0</formula>
    </cfRule>
  </conditionalFormatting>
  <conditionalFormatting sqref="G15:I15">
    <cfRule type="expression" dxfId="18" priority="1">
      <formula>#REF!+F15&gt;0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workbookViewId="0">
      <selection activeCell="D12" sqref="D12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0.4140625" style="13" bestFit="1" customWidth="1"/>
    <col min="4" max="4" width="39" style="13" customWidth="1"/>
    <col min="5" max="5" width="34.33203125" style="13" customWidth="1"/>
    <col min="6" max="6" width="13.83203125" style="13" bestFit="1" customWidth="1"/>
  </cols>
  <sheetData>
    <row r="1" spans="2:6" ht="17.5" customHeight="1" x14ac:dyDescent="0.45"/>
    <row r="2" spans="2:6" x14ac:dyDescent="0.45">
      <c r="B2" s="42" t="s">
        <v>10</v>
      </c>
      <c r="C2" s="8" t="s">
        <v>11</v>
      </c>
      <c r="D2" s="7">
        <v>1</v>
      </c>
      <c r="E2" s="7">
        <v>2</v>
      </c>
      <c r="F2" s="39" t="s">
        <v>12</v>
      </c>
    </row>
    <row r="3" spans="2:6" x14ac:dyDescent="0.45">
      <c r="B3" s="40"/>
      <c r="C3" s="8" t="s">
        <v>13</v>
      </c>
      <c r="D3" s="15" t="s">
        <v>37</v>
      </c>
      <c r="E3" s="16"/>
      <c r="F3" s="40"/>
    </row>
    <row r="4" spans="2:6" ht="17.5" customHeight="1" x14ac:dyDescent="0.45">
      <c r="B4" s="41"/>
      <c r="C4" s="8" t="s">
        <v>16</v>
      </c>
      <c r="D4" s="9" t="s">
        <v>38</v>
      </c>
      <c r="E4" s="9"/>
      <c r="F4" s="41"/>
    </row>
    <row r="5" spans="2:6" x14ac:dyDescent="0.45">
      <c r="B5" s="42" t="s">
        <v>39</v>
      </c>
      <c r="C5" s="19" t="s">
        <v>20</v>
      </c>
      <c r="D5" s="22">
        <v>1</v>
      </c>
      <c r="E5" s="22"/>
      <c r="F5" s="18">
        <f>SUM(A5:E5)</f>
        <v>1</v>
      </c>
    </row>
    <row r="6" spans="2:6" ht="17.5" customHeight="1" x14ac:dyDescent="0.45">
      <c r="B6" s="40"/>
      <c r="C6" s="19" t="s">
        <v>21</v>
      </c>
      <c r="D6" s="22">
        <v>0.8</v>
      </c>
      <c r="E6" s="22"/>
      <c r="F6" s="18"/>
    </row>
    <row r="7" spans="2:6" ht="17.5" customHeight="1" x14ac:dyDescent="0.45">
      <c r="B7" s="41"/>
      <c r="C7" s="19" t="s">
        <v>22</v>
      </c>
      <c r="D7" s="23">
        <f>Assets!$D$7*(D5)*D6</f>
        <v>93101269.600000009</v>
      </c>
      <c r="E7" s="23">
        <f>Assets!$D$4*(E5)*E6</f>
        <v>0</v>
      </c>
      <c r="F7" s="28">
        <f>SUM(A7:D7)</f>
        <v>93101269.600000009</v>
      </c>
    </row>
    <row r="8" spans="2:6" ht="17.5" customHeight="1" x14ac:dyDescent="0.45">
      <c r="B8" s="42" t="s">
        <v>23</v>
      </c>
      <c r="C8" s="25" t="s">
        <v>24</v>
      </c>
      <c r="D8" s="26">
        <v>9597</v>
      </c>
      <c r="E8" s="26"/>
      <c r="F8" s="10"/>
    </row>
    <row r="9" spans="2:6" ht="17.5" customHeight="1" x14ac:dyDescent="0.45">
      <c r="B9" s="40"/>
      <c r="C9" s="25" t="s">
        <v>25</v>
      </c>
      <c r="D9" s="26">
        <v>9597</v>
      </c>
      <c r="E9" s="26"/>
      <c r="F9" s="10"/>
    </row>
    <row r="10" spans="2:6" ht="17.5" customHeight="1" x14ac:dyDescent="0.45">
      <c r="B10" s="40"/>
      <c r="C10" s="8" t="s">
        <v>7</v>
      </c>
      <c r="D10" s="23">
        <f>D9*D8</f>
        <v>92102409</v>
      </c>
      <c r="E10" s="23">
        <f>E9*E8</f>
        <v>0</v>
      </c>
      <c r="F10" s="28">
        <f>SUM(A10:D10)</f>
        <v>92102409</v>
      </c>
    </row>
    <row r="11" spans="2:6" ht="17.5" customHeight="1" x14ac:dyDescent="0.45">
      <c r="B11" s="41"/>
      <c r="C11" s="19" t="s">
        <v>26</v>
      </c>
      <c r="D11" s="29">
        <f>IFERROR(D10/$F$10, 0)</f>
        <v>1</v>
      </c>
      <c r="E11" s="29">
        <f>IFERROR(E10/$F$10, 0)</f>
        <v>0</v>
      </c>
      <c r="F11" s="30">
        <f>SUM(A11:D11)</f>
        <v>1</v>
      </c>
    </row>
    <row r="12" spans="2:6" x14ac:dyDescent="0.45">
      <c r="B12" s="43" t="s">
        <v>27</v>
      </c>
      <c r="C12" s="19" t="s">
        <v>28</v>
      </c>
      <c r="D12" s="31">
        <v>9850</v>
      </c>
      <c r="E12" s="37"/>
      <c r="F12" s="19"/>
    </row>
    <row r="13" spans="2:6" x14ac:dyDescent="0.45">
      <c r="B13" s="40"/>
      <c r="C13" s="8" t="s">
        <v>29</v>
      </c>
      <c r="D13" s="11">
        <f>IF(D9&gt;0, (D12-D9)/D9, 0)</f>
        <v>2.6362404918203606E-2</v>
      </c>
      <c r="E13" s="11">
        <f>IF(E9&gt;0, (E12-E9)/E9, 0)</f>
        <v>0</v>
      </c>
      <c r="F13" s="11">
        <f>IFERROR(F14/F10, 0)</f>
        <v>2.6362404918203606E-2</v>
      </c>
    </row>
    <row r="14" spans="2:6" x14ac:dyDescent="0.45">
      <c r="B14" s="40"/>
      <c r="C14" s="19" t="s">
        <v>30</v>
      </c>
      <c r="D14" s="33">
        <f>D10*D13</f>
        <v>2428041</v>
      </c>
      <c r="E14" s="33">
        <f>E10*E13</f>
        <v>0</v>
      </c>
      <c r="F14" s="33">
        <f>SUM(A14:D14)</f>
        <v>2428041</v>
      </c>
    </row>
    <row r="15" spans="2:6" x14ac:dyDescent="0.45">
      <c r="B15" s="40"/>
      <c r="C15" s="19" t="s">
        <v>40</v>
      </c>
      <c r="D15" s="20">
        <f>D7-D10</f>
        <v>998860.60000000894</v>
      </c>
      <c r="E15" s="20">
        <f>E7-E10</f>
        <v>0</v>
      </c>
      <c r="F15" s="20">
        <f>SUM(A15:D15)</f>
        <v>998860.60000000894</v>
      </c>
    </row>
    <row r="16" spans="2:6" ht="17.5" customHeight="1" x14ac:dyDescent="0.45">
      <c r="B16" s="41"/>
      <c r="C16" s="19" t="s">
        <v>31</v>
      </c>
      <c r="D16" s="33">
        <f>IFERROR((D7-D10)/D12, 0)</f>
        <v>101.40716751269126</v>
      </c>
      <c r="E16" s="33">
        <f>IFERROR((E7-E10)/E12, 0)</f>
        <v>0</v>
      </c>
      <c r="F16" s="33">
        <f>IFERROR((F7-F10)/F12, 0)</f>
        <v>0</v>
      </c>
    </row>
    <row r="17" spans="2:6" s="1" customFormat="1" ht="17.5" customHeight="1" x14ac:dyDescent="0.45">
      <c r="C17" s="12"/>
      <c r="D17" s="34"/>
      <c r="E17" s="34"/>
      <c r="F17" s="34"/>
    </row>
    <row r="18" spans="2:6" x14ac:dyDescent="0.45">
      <c r="B18" s="43" t="s">
        <v>32</v>
      </c>
      <c r="C18" s="8" t="s">
        <v>33</v>
      </c>
      <c r="D18" s="23">
        <f>D8+D16</f>
        <v>9698.4071675126906</v>
      </c>
      <c r="E18" s="23">
        <f>E8+E16</f>
        <v>0</v>
      </c>
      <c r="F18" s="39" t="s">
        <v>34</v>
      </c>
    </row>
    <row r="19" spans="2:6" x14ac:dyDescent="0.45">
      <c r="B19" s="40"/>
      <c r="C19" s="8" t="s">
        <v>35</v>
      </c>
      <c r="D19" s="35">
        <f>IF(D10&gt;0,(((D8*D9)+(D16*D12))/(D8+D16)),0)</f>
        <v>9599.6453842303781</v>
      </c>
      <c r="E19" s="35">
        <f>IF(E10&gt;0,(((E8*E9)+(E16*E12))/(E8+E16)),0)</f>
        <v>0</v>
      </c>
      <c r="F19" s="41"/>
    </row>
    <row r="20" spans="2:6" ht="17.5" customHeight="1" x14ac:dyDescent="0.45">
      <c r="B20" s="41"/>
      <c r="C20" s="19" t="s">
        <v>41</v>
      </c>
      <c r="D20" s="38">
        <f>D18*D19</f>
        <v>93101269.600000009</v>
      </c>
      <c r="E20" s="38">
        <f>E18*E19</f>
        <v>0</v>
      </c>
      <c r="F20" s="36">
        <f>SUM(A20:D20)</f>
        <v>93101269.600000009</v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phoneticPr fontId="4" type="noConversion"/>
  <conditionalFormatting sqref="D13:E13">
    <cfRule type="expression" dxfId="17" priority="12" stopIfTrue="1">
      <formula>D13&gt;0</formula>
    </cfRule>
  </conditionalFormatting>
  <conditionalFormatting sqref="D13:E14">
    <cfRule type="expression" dxfId="16" priority="9">
      <formula>D13&lt;0</formula>
    </cfRule>
  </conditionalFormatting>
  <conditionalFormatting sqref="D14:E14">
    <cfRule type="expression" dxfId="15" priority="10">
      <formula>D14&gt;0</formula>
    </cfRule>
  </conditionalFormatting>
  <conditionalFormatting sqref="D15:F15">
    <cfRule type="expression" dxfId="14" priority="6">
      <formula>#REF!+C15&gt;0</formula>
    </cfRule>
  </conditionalFormatting>
  <conditionalFormatting sqref="D16:F17">
    <cfRule type="expression" dxfId="13" priority="5">
      <formula>B16+#REF!&gt;0</formula>
    </cfRule>
  </conditionalFormatting>
  <conditionalFormatting sqref="F13">
    <cfRule type="expression" dxfId="12" priority="1">
      <formula>F13&lt;0</formula>
    </cfRule>
    <cfRule type="expression" dxfId="11" priority="2" stopIfTrue="1">
      <formula>F13&gt;0</formula>
    </cfRule>
  </conditionalFormatting>
  <conditionalFormatting sqref="F14">
    <cfRule type="expression" dxfId="10" priority="3">
      <formula>E14&lt;0</formula>
    </cfRule>
    <cfRule type="expression" dxfId="9" priority="4">
      <formula>E14&gt;0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0"/>
  <sheetViews>
    <sheetView workbookViewId="0">
      <selection activeCell="D25" sqref="D25"/>
    </sheetView>
  </sheetViews>
  <sheetFormatPr defaultRowHeight="17" x14ac:dyDescent="0.45"/>
  <cols>
    <col min="1" max="1" width="3.6640625" style="13" customWidth="1"/>
    <col min="2" max="2" width="11" style="13" bestFit="1" customWidth="1"/>
    <col min="3" max="3" width="10.4140625" style="13" bestFit="1" customWidth="1"/>
    <col min="4" max="4" width="31.9140625" style="13" bestFit="1" customWidth="1"/>
    <col min="5" max="5" width="26.9140625" style="13" customWidth="1"/>
    <col min="6" max="6" width="12.6640625" style="13" bestFit="1" customWidth="1"/>
  </cols>
  <sheetData>
    <row r="2" spans="2:6" x14ac:dyDescent="0.45">
      <c r="B2" s="42" t="s">
        <v>10</v>
      </c>
      <c r="C2" s="8" t="s">
        <v>11</v>
      </c>
      <c r="D2" s="7">
        <v>1</v>
      </c>
      <c r="E2" s="7">
        <v>2</v>
      </c>
      <c r="F2" s="39" t="s">
        <v>12</v>
      </c>
    </row>
    <row r="3" spans="2:6" x14ac:dyDescent="0.45">
      <c r="B3" s="40"/>
      <c r="C3" s="8" t="s">
        <v>13</v>
      </c>
      <c r="D3" s="15" t="s">
        <v>42</v>
      </c>
      <c r="E3" s="16"/>
      <c r="F3" s="40"/>
    </row>
    <row r="4" spans="2:6" x14ac:dyDescent="0.45">
      <c r="B4" s="41"/>
      <c r="C4" s="8" t="s">
        <v>16</v>
      </c>
      <c r="D4" s="9" t="s">
        <v>43</v>
      </c>
      <c r="E4" s="9"/>
      <c r="F4" s="41"/>
    </row>
    <row r="5" spans="2:6" x14ac:dyDescent="0.45">
      <c r="B5" s="42" t="s">
        <v>39</v>
      </c>
      <c r="C5" s="19" t="s">
        <v>20</v>
      </c>
      <c r="D5" s="22">
        <v>1</v>
      </c>
      <c r="E5" s="22"/>
      <c r="F5" s="18">
        <f>SUM(A5:E5)</f>
        <v>1</v>
      </c>
    </row>
    <row r="6" spans="2:6" x14ac:dyDescent="0.45">
      <c r="B6" s="40"/>
      <c r="C6" s="19" t="s">
        <v>21</v>
      </c>
      <c r="D6" s="22">
        <v>0.7</v>
      </c>
      <c r="E6" s="22"/>
      <c r="F6" s="18"/>
    </row>
    <row r="7" spans="2:6" x14ac:dyDescent="0.45">
      <c r="B7" s="41"/>
      <c r="C7" s="19" t="s">
        <v>22</v>
      </c>
      <c r="D7" s="23">
        <f>Assets!$D$10*(D5)*D6</f>
        <v>9629816</v>
      </c>
      <c r="E7" s="23">
        <f>Assets!$D$4*(E5)*E6</f>
        <v>0</v>
      </c>
      <c r="F7" s="28">
        <f>SUM(A7:D7)</f>
        <v>9629816</v>
      </c>
    </row>
    <row r="8" spans="2:6" x14ac:dyDescent="0.45">
      <c r="B8" s="42" t="s">
        <v>23</v>
      </c>
      <c r="C8" s="25" t="s">
        <v>24</v>
      </c>
      <c r="D8" s="26">
        <v>1195</v>
      </c>
      <c r="E8" s="26"/>
      <c r="F8" s="10"/>
    </row>
    <row r="9" spans="2:6" x14ac:dyDescent="0.45">
      <c r="B9" s="40"/>
      <c r="C9" s="25" t="s">
        <v>25</v>
      </c>
      <c r="D9" s="26">
        <v>8061</v>
      </c>
      <c r="E9" s="26"/>
      <c r="F9" s="10"/>
    </row>
    <row r="10" spans="2:6" x14ac:dyDescent="0.45">
      <c r="B10" s="40"/>
      <c r="C10" s="8" t="s">
        <v>7</v>
      </c>
      <c r="D10" s="23">
        <f>D9*D8</f>
        <v>9632895</v>
      </c>
      <c r="E10" s="23">
        <f>E9*E8</f>
        <v>0</v>
      </c>
      <c r="F10" s="28">
        <f>SUM(A10:D10)</f>
        <v>9632895</v>
      </c>
    </row>
    <row r="11" spans="2:6" x14ac:dyDescent="0.45">
      <c r="B11" s="41"/>
      <c r="C11" s="19" t="s">
        <v>26</v>
      </c>
      <c r="D11" s="29">
        <f>IFERROR(D10/$F$10, 0)</f>
        <v>1</v>
      </c>
      <c r="E11" s="29">
        <f>IFERROR(E10/$F$10, 0)</f>
        <v>0</v>
      </c>
      <c r="F11" s="30">
        <f>SUM(A11:D11)</f>
        <v>1</v>
      </c>
    </row>
    <row r="12" spans="2:6" x14ac:dyDescent="0.45">
      <c r="B12" s="43" t="s">
        <v>27</v>
      </c>
      <c r="C12" s="19" t="s">
        <v>28</v>
      </c>
      <c r="D12" s="31">
        <v>7985</v>
      </c>
      <c r="E12" s="37"/>
      <c r="F12" s="19"/>
    </row>
    <row r="13" spans="2:6" x14ac:dyDescent="0.45">
      <c r="B13" s="40"/>
      <c r="C13" s="8" t="s">
        <v>29</v>
      </c>
      <c r="D13" s="11">
        <f>IF(D9&gt;0, (D12-D9)/D9, 0)</f>
        <v>-9.4281106562461234E-3</v>
      </c>
      <c r="E13" s="11">
        <f>IF(E9&gt;0, (E12-E9)/E9, 0)</f>
        <v>0</v>
      </c>
      <c r="F13" s="11">
        <f>IFERROR(F14/F10, 0)</f>
        <v>-9.4281106562461234E-3</v>
      </c>
    </row>
    <row r="14" spans="2:6" x14ac:dyDescent="0.45">
      <c r="B14" s="40"/>
      <c r="C14" s="19" t="s">
        <v>30</v>
      </c>
      <c r="D14" s="33">
        <f>D10*D13</f>
        <v>-90820</v>
      </c>
      <c r="E14" s="33">
        <f>E10*E13</f>
        <v>0</v>
      </c>
      <c r="F14" s="33">
        <f>SUM(A14:D14)</f>
        <v>-90820</v>
      </c>
    </row>
    <row r="15" spans="2:6" x14ac:dyDescent="0.45">
      <c r="B15" s="40"/>
      <c r="C15" s="19" t="s">
        <v>40</v>
      </c>
      <c r="D15" s="20">
        <f>D7-D10</f>
        <v>-3079</v>
      </c>
      <c r="E15" s="20">
        <f>E7-E10</f>
        <v>0</v>
      </c>
      <c r="F15" s="20">
        <f>SUM(A15:D15)</f>
        <v>-3079</v>
      </c>
    </row>
    <row r="16" spans="2:6" x14ac:dyDescent="0.45">
      <c r="B16" s="41"/>
      <c r="C16" s="19" t="s">
        <v>31</v>
      </c>
      <c r="D16" s="33">
        <f>IFERROR((D7-D10)/D12, 0)</f>
        <v>-0.38559799624295554</v>
      </c>
      <c r="E16" s="33">
        <f>IFERROR((E7-E10)/E12, 0)</f>
        <v>0</v>
      </c>
      <c r="F16" s="33">
        <f>IFERROR((F7-F10)/F12, 0)</f>
        <v>0</v>
      </c>
    </row>
    <row r="17" spans="2:6" s="1" customFormat="1" x14ac:dyDescent="0.45">
      <c r="C17" s="12"/>
      <c r="D17" s="34"/>
      <c r="E17" s="34"/>
      <c r="F17" s="34"/>
    </row>
    <row r="18" spans="2:6" x14ac:dyDescent="0.45">
      <c r="B18" s="43" t="s">
        <v>32</v>
      </c>
      <c r="C18" s="8" t="s">
        <v>33</v>
      </c>
      <c r="D18" s="23">
        <f>D8+D16</f>
        <v>1194.614402003757</v>
      </c>
      <c r="E18" s="23">
        <f>E8+E16</f>
        <v>0</v>
      </c>
      <c r="F18" s="39" t="s">
        <v>34</v>
      </c>
    </row>
    <row r="19" spans="2:6" x14ac:dyDescent="0.45">
      <c r="B19" s="40"/>
      <c r="C19" s="8" t="s">
        <v>35</v>
      </c>
      <c r="D19" s="35">
        <f>IF(D10&gt;0,(((D8*D9)+(D16*D12))/(D8+D16)),0)</f>
        <v>8061.0245313028754</v>
      </c>
      <c r="E19" s="35">
        <f>IF(E10&gt;0,(((E8*E9)+(E16*E12))/(E8+E16)),0)</f>
        <v>0</v>
      </c>
      <c r="F19" s="41"/>
    </row>
    <row r="20" spans="2:6" x14ac:dyDescent="0.45">
      <c r="B20" s="41"/>
      <c r="C20" s="19" t="s">
        <v>41</v>
      </c>
      <c r="D20" s="38">
        <f>D18*D19</f>
        <v>9629816</v>
      </c>
      <c r="E20" s="38">
        <f>E18*E19</f>
        <v>0</v>
      </c>
      <c r="F20" s="36">
        <f>SUM(A20:D20)</f>
        <v>9629816</v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phoneticPr fontId="4" type="noConversion"/>
  <conditionalFormatting sqref="D13:E13">
    <cfRule type="expression" dxfId="8" priority="12" stopIfTrue="1">
      <formula>D13&gt;0</formula>
    </cfRule>
  </conditionalFormatting>
  <conditionalFormatting sqref="D13:E14">
    <cfRule type="expression" dxfId="7" priority="9">
      <formula>D13&lt;0</formula>
    </cfRule>
  </conditionalFormatting>
  <conditionalFormatting sqref="D14:E14">
    <cfRule type="expression" dxfId="6" priority="10">
      <formula>D14&gt;0</formula>
    </cfRule>
  </conditionalFormatting>
  <conditionalFormatting sqref="D15:F15">
    <cfRule type="expression" dxfId="5" priority="6">
      <formula>#REF!+C15&gt;0</formula>
    </cfRule>
  </conditionalFormatting>
  <conditionalFormatting sqref="D16:F17">
    <cfRule type="expression" dxfId="4" priority="5">
      <formula>B16+#REF!&gt;0</formula>
    </cfRule>
  </conditionalFormatting>
  <conditionalFormatting sqref="F13">
    <cfRule type="expression" dxfId="3" priority="1">
      <formula>F13&lt;0</formula>
    </cfRule>
    <cfRule type="expression" dxfId="2" priority="2" stopIfTrue="1">
      <formula>F13&gt;0</formula>
    </cfRule>
  </conditionalFormatting>
  <conditionalFormatting sqref="F14">
    <cfRule type="expression" dxfId="1" priority="3">
      <formula>E14&lt;0</formula>
    </cfRule>
    <cfRule type="expression" dxfId="0" priority="4">
      <formula>E14&gt;0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Assets</vt:lpstr>
      <vt:lpstr>CMA</vt:lpstr>
      <vt:lpstr>개인연금</vt:lpstr>
      <vt:lpstr>퇴직연금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TAEHO HWANG</dc:creator>
  <cp:lastModifiedBy>TAEHO HWANG</cp:lastModifiedBy>
  <cp:revision>2</cp:revision>
  <cp:lastPrinted>2026-01-22T00:39:54Z</cp:lastPrinted>
  <dcterms:created xsi:type="dcterms:W3CDTF">2020-03-30T01:06:52Z</dcterms:created>
  <dcterms:modified xsi:type="dcterms:W3CDTF">2026-04-14T05:15:30Z</dcterms:modified>
  <cp:version>1300.0100.01</cp:version>
</cp:coreProperties>
</file>