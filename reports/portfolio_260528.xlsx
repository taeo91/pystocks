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aeoh\SynologyDrive_ludwizia\MyInvestments\"/>
    </mc:Choice>
  </mc:AlternateContent>
  <xr:revisionPtr revIDLastSave="0" documentId="13_ncr:1_{464B97D3-F92F-40BF-A846-1262489234CF}" xr6:coauthVersionLast="47" xr6:coauthVersionMax="47" xr10:uidLastSave="{00000000-0000-0000-0000-000000000000}"/>
  <bookViews>
    <workbookView xWindow="38490" yWindow="2280" windowWidth="22640" windowHeight="18770" tabRatio="661" activeTab="2" xr2:uid="{00000000-000D-0000-FFFF-FFFF00000000}"/>
  </bookViews>
  <sheets>
    <sheet name="Assets" sheetId="1" r:id="rId1"/>
    <sheet name="CMA" sheetId="2" r:id="rId2"/>
    <sheet name="개인연금" sheetId="3" r:id="rId3"/>
    <sheet name="퇴직연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1" l="1"/>
  <c r="E7" i="1"/>
  <c r="H27" i="3"/>
  <c r="E13" i="2"/>
  <c r="E10" i="2"/>
  <c r="G13" i="2"/>
  <c r="G10" i="2"/>
  <c r="F13" i="2"/>
  <c r="F10" i="2"/>
  <c r="F28" i="4"/>
  <c r="F27" i="4" s="1"/>
  <c r="E14" i="4"/>
  <c r="E13" i="4"/>
  <c r="D13" i="4"/>
  <c r="F10" i="4"/>
  <c r="F7" i="1" s="1"/>
  <c r="E10" i="4"/>
  <c r="E24" i="4" s="1"/>
  <c r="D10" i="4"/>
  <c r="F5" i="4"/>
  <c r="F28" i="3"/>
  <c r="E14" i="3"/>
  <c r="E13" i="3"/>
  <c r="D13" i="3"/>
  <c r="F10" i="3"/>
  <c r="F6" i="1" s="1"/>
  <c r="E10" i="3"/>
  <c r="E24" i="3" s="1"/>
  <c r="D10" i="3"/>
  <c r="F5" i="3"/>
  <c r="I28" i="2"/>
  <c r="C22" i="1" s="1"/>
  <c r="H13" i="2"/>
  <c r="H14" i="2" s="1"/>
  <c r="D13" i="2"/>
  <c r="H10" i="2"/>
  <c r="H24" i="2" s="1"/>
  <c r="D10" i="2"/>
  <c r="D14" i="2" s="1"/>
  <c r="I5" i="2"/>
  <c r="C10" i="1"/>
  <c r="F27" i="3" l="1"/>
  <c r="E14" i="2"/>
  <c r="D14" i="3"/>
  <c r="F14" i="3" s="1"/>
  <c r="F13" i="3" s="1"/>
  <c r="F14" i="2"/>
  <c r="G14" i="2"/>
  <c r="I14" i="2" s="1"/>
  <c r="D14" i="4"/>
  <c r="F14" i="4" s="1"/>
  <c r="F13" i="4"/>
  <c r="I7" i="1"/>
  <c r="D7" i="4" s="1"/>
  <c r="I6" i="1"/>
  <c r="C6" i="1" s="1"/>
  <c r="E6" i="1" s="1"/>
  <c r="I10" i="2"/>
  <c r="E11" i="2" s="1"/>
  <c r="D11" i="3"/>
  <c r="D11" i="4"/>
  <c r="F11" i="4" s="1"/>
  <c r="E11" i="3"/>
  <c r="E11" i="4"/>
  <c r="G11" i="2" l="1"/>
  <c r="F11" i="2"/>
  <c r="I13" i="2"/>
  <c r="I5" i="1"/>
  <c r="F11" i="3"/>
  <c r="H11" i="2"/>
  <c r="F5" i="1"/>
  <c r="C16" i="1" s="1"/>
  <c r="I27" i="2"/>
  <c r="D15" i="4"/>
  <c r="F15" i="4" s="1"/>
  <c r="F7" i="4"/>
  <c r="F16" i="4" s="1"/>
  <c r="D16" i="4"/>
  <c r="E7" i="3"/>
  <c r="D7" i="3"/>
  <c r="D11" i="2"/>
  <c r="I11" i="2" s="1"/>
  <c r="E15" i="3" l="1"/>
  <c r="E16" i="3"/>
  <c r="D23" i="4"/>
  <c r="D21" i="4"/>
  <c r="D20" i="4"/>
  <c r="D19" i="4"/>
  <c r="D18" i="4"/>
  <c r="D24" i="4"/>
  <c r="D22" i="1"/>
  <c r="C5" i="1"/>
  <c r="C19" i="1"/>
  <c r="D15" i="3"/>
  <c r="F15" i="3" s="1"/>
  <c r="F7" i="3"/>
  <c r="F16" i="3" s="1"/>
  <c r="D16" i="3"/>
  <c r="D18" i="3" s="1"/>
  <c r="D23" i="3" l="1"/>
  <c r="D21" i="3"/>
  <c r="D20" i="3"/>
  <c r="D19" i="3"/>
  <c r="D30" i="3"/>
  <c r="D24" i="3"/>
  <c r="E5" i="1"/>
  <c r="E7" i="2" s="1"/>
  <c r="C13" i="1"/>
  <c r="B16" i="1" s="1"/>
  <c r="B19" i="1"/>
  <c r="D25" i="4"/>
  <c r="F25" i="4" s="1"/>
  <c r="E23" i="3"/>
  <c r="E25" i="3" s="1"/>
  <c r="E21" i="3"/>
  <c r="E20" i="3"/>
  <c r="E19" i="3"/>
  <c r="E18" i="3"/>
  <c r="E16" i="2" l="1"/>
  <c r="E15" i="2"/>
  <c r="G7" i="2"/>
  <c r="G16" i="2" s="1"/>
  <c r="G24" i="2" s="1"/>
  <c r="F7" i="2"/>
  <c r="B10" i="1"/>
  <c r="E7" i="4"/>
  <c r="D7" i="2"/>
  <c r="H7" i="2"/>
  <c r="D25" i="3"/>
  <c r="F25" i="3" l="1"/>
  <c r="G15" i="2"/>
  <c r="E23" i="2"/>
  <c r="E21" i="2"/>
  <c r="E20" i="2"/>
  <c r="E19" i="2"/>
  <c r="E18" i="2"/>
  <c r="E30" i="2" s="1"/>
  <c r="E24" i="2"/>
  <c r="G21" i="2"/>
  <c r="G23" i="2"/>
  <c r="G25" i="2" s="1"/>
  <c r="G20" i="2"/>
  <c r="G19" i="2"/>
  <c r="G18" i="2"/>
  <c r="F15" i="2"/>
  <c r="F16" i="2"/>
  <c r="H16" i="2"/>
  <c r="H15" i="2"/>
  <c r="D16" i="2"/>
  <c r="D15" i="2"/>
  <c r="I7" i="2"/>
  <c r="I16" i="2" s="1"/>
  <c r="E15" i="4"/>
  <c r="E16" i="4"/>
  <c r="E25" i="2" l="1"/>
  <c r="F23" i="2"/>
  <c r="F21" i="2"/>
  <c r="F20" i="2"/>
  <c r="F19" i="2"/>
  <c r="F18" i="2"/>
  <c r="F30" i="2" s="1"/>
  <c r="F24" i="2"/>
  <c r="G30" i="2"/>
  <c r="E23" i="4"/>
  <c r="E25" i="4" s="1"/>
  <c r="E21" i="4"/>
  <c r="E20" i="4"/>
  <c r="E19" i="4"/>
  <c r="E18" i="4"/>
  <c r="I15" i="2"/>
  <c r="D23" i="2"/>
  <c r="D18" i="2"/>
  <c r="D30" i="2" s="1"/>
  <c r="D21" i="2"/>
  <c r="D20" i="2"/>
  <c r="D24" i="2"/>
  <c r="D19" i="2"/>
  <c r="H21" i="2"/>
  <c r="H20" i="2"/>
  <c r="H19" i="2"/>
  <c r="H23" i="2"/>
  <c r="H25" i="2" s="1"/>
  <c r="H18" i="2"/>
  <c r="H30" i="2" s="1"/>
  <c r="F25" i="2" l="1"/>
  <c r="D25" i="2"/>
  <c r="I25" i="2" l="1"/>
</calcChain>
</file>

<file path=xl/sharedStrings.xml><?xml version="1.0" encoding="utf-8"?>
<sst xmlns="http://schemas.openxmlformats.org/spreadsheetml/2006/main" count="118" uniqueCount="60">
  <si>
    <t>2026.05.06</t>
  </si>
  <si>
    <t>투자원금</t>
  </si>
  <si>
    <t>현금보유비중</t>
  </si>
  <si>
    <t>투자가능금액</t>
  </si>
  <si>
    <t>투자금</t>
  </si>
  <si>
    <t>순자산총액</t>
  </si>
  <si>
    <t>이자</t>
  </si>
  <si>
    <t>평가손익</t>
  </si>
  <si>
    <t>매매비율</t>
  </si>
  <si>
    <t>CMA</t>
  </si>
  <si>
    <t>연금저축(신)</t>
  </si>
  <si>
    <t>IRP</t>
  </si>
  <si>
    <t>총자산</t>
  </si>
  <si>
    <t>원금</t>
  </si>
  <si>
    <t>차익</t>
  </si>
  <si>
    <t>배당수익</t>
  </si>
  <si>
    <t>ITEMs</t>
  </si>
  <si>
    <t>#</t>
  </si>
  <si>
    <t>합계</t>
  </si>
  <si>
    <t>코드</t>
  </si>
  <si>
    <t>498400</t>
  </si>
  <si>
    <t>091160</t>
  </si>
  <si>
    <t>091180</t>
  </si>
  <si>
    <t>종목</t>
  </si>
  <si>
    <t>KODEX 200타겟위클리커버드콜</t>
  </si>
  <si>
    <t>KODEX 반도체</t>
  </si>
  <si>
    <t>KODEX 자동차</t>
  </si>
  <si>
    <t>Plan</t>
  </si>
  <si>
    <t>투자비중</t>
  </si>
  <si>
    <t>매수목표</t>
  </si>
  <si>
    <t>투자목표</t>
  </si>
  <si>
    <t>Investment</t>
  </si>
  <si>
    <t>보유량</t>
  </si>
  <si>
    <t>평균단가</t>
  </si>
  <si>
    <t>비중</t>
  </si>
  <si>
    <t>매매</t>
  </si>
  <si>
    <t>현재가</t>
  </si>
  <si>
    <t>수익률</t>
  </si>
  <si>
    <t>수익</t>
  </si>
  <si>
    <t>추가매수</t>
  </si>
  <si>
    <t>LONG/SHORT</t>
  </si>
  <si>
    <t>목표</t>
  </si>
  <si>
    <t>목표수량</t>
  </si>
  <si>
    <t>투자금 목표</t>
  </si>
  <si>
    <t>목표평단가</t>
  </si>
  <si>
    <t>배당,분배</t>
  </si>
  <si>
    <t>지급일일</t>
  </si>
  <si>
    <t>금액(세후)</t>
  </si>
  <si>
    <t>494300</t>
  </si>
  <si>
    <t>381180</t>
  </si>
  <si>
    <t>KODEX 미국나스닥100데일리커버드콜OTM</t>
  </si>
  <si>
    <t>TIGER 미국필라델피아반도체나스닥</t>
  </si>
  <si>
    <t>Plane</t>
  </si>
  <si>
    <t>투자한도</t>
  </si>
  <si>
    <t>매수한도</t>
  </si>
  <si>
    <t>목표투자금</t>
  </si>
  <si>
    <t>481060</t>
  </si>
  <si>
    <t>TIGER 단기채권액티브</t>
  </si>
  <si>
    <t>278530</t>
    <phoneticPr fontId="4" type="noConversion"/>
  </si>
  <si>
    <t>KODEX 200TR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</si>
</sst>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76" formatCode="0.0%"/>
  </numFmts>
  <fonts count="11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</font>
    <font>
      <sz val="11"/>
      <color rgb="FF0000FF"/>
      <name val="맑은 고딕"/>
      <family val="3"/>
      <charset val="129"/>
    </font>
    <font>
      <sz val="11"/>
      <color rgb="FF0000FF"/>
      <name val="맑은 고딕"/>
      <family val="3"/>
      <charset val="129"/>
    </font>
    <font>
      <sz val="11"/>
      <color rgb="FF0000FF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6">
    <xf numFmtId="0" fontId="0" fillId="0" borderId="0">
      <alignment vertical="center"/>
    </xf>
    <xf numFmtId="9" fontId="3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6" fillId="0" borderId="0"/>
  </cellStyleXfs>
  <cellXfs count="61">
    <xf numFmtId="0" fontId="0" fillId="0" borderId="0" xfId="0" applyAlignment="1">
      <alignment vertical="center"/>
    </xf>
    <xf numFmtId="9" fontId="0" fillId="0" borderId="1" xfId="0" applyNumberFormat="1" applyBorder="1" applyAlignment="1">
      <alignment vertical="center"/>
    </xf>
    <xf numFmtId="0" fontId="3" fillId="0" borderId="0" xfId="0" applyFont="1" applyAlignment="1"/>
    <xf numFmtId="0" fontId="2" fillId="0" borderId="0" xfId="0" applyFont="1" applyAlignment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0" fontId="5" fillId="3" borderId="1" xfId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49" fontId="3" fillId="2" borderId="1" xfId="5" applyNumberFormat="1" applyFont="1" applyFill="1" applyBorder="1" applyAlignment="1">
      <alignment horizontal="center"/>
    </xf>
    <xf numFmtId="49" fontId="0" fillId="2" borderId="1" xfId="5" applyNumberFormat="1" applyFont="1" applyFill="1" applyBorder="1" applyAlignment="1">
      <alignment horizontal="center"/>
    </xf>
    <xf numFmtId="0" fontId="3" fillId="0" borderId="1" xfId="0" applyFont="1" applyBorder="1" applyAlignment="1"/>
    <xf numFmtId="9" fontId="3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/>
    <xf numFmtId="0" fontId="0" fillId="0" borderId="1" xfId="0" applyBorder="1" applyAlignment="1"/>
    <xf numFmtId="17" fontId="0" fillId="0" borderId="0" xfId="0" applyNumberFormat="1" applyAlignment="1"/>
    <xf numFmtId="9" fontId="3" fillId="0" borderId="1" xfId="1" applyBorder="1" applyAlignment="1">
      <alignment vertical="center"/>
    </xf>
    <xf numFmtId="10" fontId="3" fillId="0" borderId="1" xfId="1" applyNumberFormat="1" applyBorder="1" applyAlignment="1">
      <alignment vertical="center"/>
    </xf>
    <xf numFmtId="10" fontId="3" fillId="0" borderId="0" xfId="1" applyNumberForma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horizontal="center" vertical="center"/>
    </xf>
    <xf numFmtId="41" fontId="3" fillId="0" borderId="1" xfId="2" applyBorder="1" applyAlignment="1">
      <alignment vertical="center"/>
    </xf>
    <xf numFmtId="41" fontId="3" fillId="2" borderId="1" xfId="2" applyFill="1" applyBorder="1" applyAlignment="1">
      <alignment vertical="center"/>
    </xf>
    <xf numFmtId="41" fontId="3" fillId="3" borderId="1" xfId="2" applyFill="1" applyBorder="1" applyAlignment="1">
      <alignment vertical="center"/>
    </xf>
    <xf numFmtId="41" fontId="0" fillId="0" borderId="0" xfId="0" applyNumberFormat="1" applyAlignment="1"/>
    <xf numFmtId="41" fontId="2" fillId="0" borderId="0" xfId="0" applyNumberFormat="1" applyFont="1" applyAlignment="1">
      <alignment vertical="center"/>
    </xf>
    <xf numFmtId="41" fontId="2" fillId="0" borderId="0" xfId="0" applyNumberFormat="1" applyFont="1" applyAlignment="1"/>
    <xf numFmtId="176" fontId="2" fillId="2" borderId="1" xfId="1" applyNumberFormat="1" applyFont="1" applyFill="1" applyBorder="1" applyAlignment="1">
      <alignment vertical="center"/>
    </xf>
    <xf numFmtId="41" fontId="3" fillId="0" borderId="1" xfId="2" applyBorder="1" applyAlignment="1">
      <alignment horizontal="right" vertical="center"/>
    </xf>
    <xf numFmtId="41" fontId="3" fillId="0" borderId="1" xfId="0" applyNumberFormat="1" applyFont="1" applyBorder="1" applyAlignment="1">
      <alignment vertical="center"/>
    </xf>
    <xf numFmtId="41" fontId="0" fillId="0" borderId="1" xfId="2" applyFont="1" applyBorder="1" applyAlignment="1">
      <alignment horizontal="center" vertical="center"/>
    </xf>
    <xf numFmtId="41" fontId="2" fillId="2" borderId="1" xfId="2" applyFont="1" applyFill="1" applyBorder="1" applyAlignment="1">
      <alignment vertical="center"/>
    </xf>
    <xf numFmtId="41" fontId="2" fillId="0" borderId="1" xfId="0" applyNumberFormat="1" applyFont="1" applyBorder="1" applyAlignment="1">
      <alignment vertical="center"/>
    </xf>
    <xf numFmtId="176" fontId="3" fillId="0" borderId="1" xfId="1" applyNumberFormat="1" applyBorder="1" applyAlignment="1">
      <alignment vertical="center"/>
    </xf>
    <xf numFmtId="176" fontId="0" fillId="0" borderId="1" xfId="0" applyNumberFormat="1" applyBorder="1" applyAlignment="1">
      <alignment vertical="center"/>
    </xf>
    <xf numFmtId="41" fontId="10" fillId="2" borderId="1" xfId="2" applyFont="1" applyFill="1" applyBorder="1" applyAlignment="1">
      <alignment vertical="center"/>
    </xf>
    <xf numFmtId="41" fontId="9" fillId="2" borderId="1" xfId="2" applyFont="1" applyFill="1" applyBorder="1" applyAlignment="1">
      <alignment vertical="center"/>
    </xf>
    <xf numFmtId="41" fontId="2" fillId="0" borderId="1" xfId="2" applyFont="1" applyBorder="1" applyAlignment="1">
      <alignment vertical="center"/>
    </xf>
    <xf numFmtId="41" fontId="2" fillId="0" borderId="0" xfId="2" applyFont="1" applyAlignment="1">
      <alignment vertical="center"/>
    </xf>
    <xf numFmtId="41" fontId="3" fillId="0" borderId="1" xfId="2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41" fontId="0" fillId="0" borderId="1" xfId="0" applyNumberFormat="1" applyBorder="1" applyAlignment="1"/>
    <xf numFmtId="41" fontId="3" fillId="0" borderId="0" xfId="2" applyAlignment="1">
      <alignment vertical="center"/>
    </xf>
    <xf numFmtId="41" fontId="0" fillId="0" borderId="1" xfId="2" applyFont="1" applyBorder="1" applyAlignment="1">
      <alignment vertical="center"/>
    </xf>
    <xf numFmtId="41" fontId="8" fillId="2" borderId="1" xfId="2" applyFont="1" applyFill="1" applyBorder="1" applyAlignment="1">
      <alignment vertical="center"/>
    </xf>
    <xf numFmtId="41" fontId="7" fillId="4" borderId="7" xfId="2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41" fontId="7" fillId="4" borderId="1" xfId="2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41" fontId="7" fillId="4" borderId="4" xfId="2" applyFont="1" applyFill="1" applyBorder="1" applyAlignment="1">
      <alignment horizontal="center" vertical="center"/>
    </xf>
    <xf numFmtId="41" fontId="7" fillId="4" borderId="5" xfId="2" applyFont="1" applyFill="1" applyBorder="1" applyAlignment="1">
      <alignment horizontal="center" vertical="center"/>
    </xf>
    <xf numFmtId="0" fontId="0" fillId="0" borderId="6" xfId="0" applyBorder="1" applyAlignment="1"/>
    <xf numFmtId="10" fontId="3" fillId="0" borderId="0" xfId="1" applyNumberFormat="1">
      <alignment vertical="center"/>
    </xf>
    <xf numFmtId="43" fontId="0" fillId="0" borderId="0" xfId="0" applyNumberFormat="1" applyAlignment="1">
      <alignment vertical="center"/>
    </xf>
  </cellXfs>
  <cellStyles count="6">
    <cellStyle name="Normal" xfId="5" xr:uid="{00000000-0005-0000-0000-000005000000}"/>
    <cellStyle name="백분율" xfId="1" builtinId="5"/>
    <cellStyle name="쉼표 [0]" xfId="2" builtinId="6"/>
    <cellStyle name="쉼표 [0] 2" xfId="4" xr:uid="{00000000-0005-0000-0000-000004000000}"/>
    <cellStyle name="표준" xfId="0" builtinId="0"/>
    <cellStyle name="표준 2" xfId="3" xr:uid="{00000000-0005-0000-0000-000003000000}"/>
  </cellStyles>
  <dxfs count="33"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workbookViewId="0">
      <selection activeCell="G26" sqref="G26"/>
    </sheetView>
  </sheetViews>
  <sheetFormatPr defaultRowHeight="17" x14ac:dyDescent="0.45"/>
  <cols>
    <col min="2" max="2" width="14.25" style="22" bestFit="1" customWidth="1"/>
    <col min="3" max="3" width="17.4140625" style="22" customWidth="1"/>
    <col min="4" max="4" width="15.58203125" style="22" bestFit="1" customWidth="1"/>
    <col min="5" max="5" width="15.58203125" style="22" customWidth="1"/>
    <col min="6" max="7" width="14.25" style="22" bestFit="1" customWidth="1"/>
    <col min="8" max="8" width="14.25" style="22" customWidth="1"/>
    <col min="9" max="9" width="11.25" style="22" customWidth="1"/>
    <col min="10" max="10" width="5.4140625" style="22" customWidth="1"/>
  </cols>
  <sheetData>
    <row r="1" spans="1:11" s="21" customFormat="1" x14ac:dyDescent="0.45"/>
    <row r="2" spans="1:11" x14ac:dyDescent="0.45">
      <c r="B2" s="3" t="s">
        <v>0</v>
      </c>
    </row>
    <row r="3" spans="1:11" s="21" customFormat="1" x14ac:dyDescent="0.45">
      <c r="B3" s="3"/>
    </row>
    <row r="4" spans="1:11" x14ac:dyDescent="0.45">
      <c r="B4" s="6"/>
      <c r="C4" s="5" t="s">
        <v>1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K4" s="13" t="s">
        <v>8</v>
      </c>
    </row>
    <row r="5" spans="1:11" x14ac:dyDescent="0.45">
      <c r="B5" s="4" t="s">
        <v>9</v>
      </c>
      <c r="C5" s="24">
        <f>G5-I5</f>
        <v>1190574516</v>
      </c>
      <c r="D5" s="1">
        <v>0</v>
      </c>
      <c r="E5" s="24">
        <f>C5*(1-D5)</f>
        <v>1190574516</v>
      </c>
      <c r="F5" s="24">
        <f>CMA!I10</f>
        <v>289287262</v>
      </c>
      <c r="G5" s="25">
        <v>1285263124</v>
      </c>
      <c r="H5" s="25"/>
      <c r="I5" s="26">
        <f>CMA!I14</f>
        <v>94688608</v>
      </c>
      <c r="K5" s="18">
        <v>0.4</v>
      </c>
    </row>
    <row r="6" spans="1:11" x14ac:dyDescent="0.45">
      <c r="B6" s="4" t="s">
        <v>10</v>
      </c>
      <c r="C6" s="24">
        <f>G6-I6</f>
        <v>126027752</v>
      </c>
      <c r="D6" s="1">
        <v>0</v>
      </c>
      <c r="E6" s="24">
        <f>C6*(1-D6)</f>
        <v>126027752</v>
      </c>
      <c r="F6" s="24">
        <f>개인연금!F10</f>
        <v>87721508</v>
      </c>
      <c r="G6" s="25">
        <v>135409684</v>
      </c>
      <c r="H6" s="25">
        <v>0</v>
      </c>
      <c r="I6" s="26">
        <f>개인연금!F14+H6</f>
        <v>9381932</v>
      </c>
      <c r="K6" s="18">
        <v>0.3</v>
      </c>
    </row>
    <row r="7" spans="1:11" x14ac:dyDescent="0.45">
      <c r="B7" s="4" t="s">
        <v>11</v>
      </c>
      <c r="C7" s="24">
        <f>G7-I7</f>
        <v>13622532</v>
      </c>
      <c r="D7" s="1">
        <v>0</v>
      </c>
      <c r="E7" s="24">
        <f>C7*(1-D7)</f>
        <v>13622532</v>
      </c>
      <c r="F7" s="24">
        <f>퇴직연금!F10</f>
        <v>13613677</v>
      </c>
      <c r="G7" s="25">
        <v>13831510</v>
      </c>
      <c r="H7" s="25">
        <v>0</v>
      </c>
      <c r="I7" s="26">
        <f>퇴직연금!F14+H7</f>
        <v>208978</v>
      </c>
      <c r="K7" s="18">
        <v>0.2</v>
      </c>
    </row>
    <row r="8" spans="1:11" x14ac:dyDescent="0.45">
      <c r="F8" s="27"/>
      <c r="K8" s="18">
        <v>0.1</v>
      </c>
    </row>
    <row r="9" spans="1:11" x14ac:dyDescent="0.45">
      <c r="B9" s="48" t="s">
        <v>12</v>
      </c>
      <c r="C9" s="50"/>
    </row>
    <row r="10" spans="1:11" x14ac:dyDescent="0.45">
      <c r="A10" s="21"/>
      <c r="B10" s="20">
        <f>C19/C13</f>
        <v>7.8392402547298776E-2</v>
      </c>
      <c r="C10" s="28">
        <f>SUM(G5,G6,G7)</f>
        <v>1434504318</v>
      </c>
    </row>
    <row r="12" spans="1:11" x14ac:dyDescent="0.45">
      <c r="A12" s="21"/>
      <c r="B12" s="48" t="s">
        <v>13</v>
      </c>
      <c r="C12" s="50"/>
    </row>
    <row r="13" spans="1:11" s="21" customFormat="1" x14ac:dyDescent="0.45">
      <c r="B13" s="2"/>
      <c r="C13" s="28">
        <f>SUM(C5,C6,C7)</f>
        <v>1330224800</v>
      </c>
    </row>
    <row r="14" spans="1:11" x14ac:dyDescent="0.45">
      <c r="A14" s="21"/>
    </row>
    <row r="15" spans="1:11" s="21" customFormat="1" x14ac:dyDescent="0.45">
      <c r="B15" s="48" t="s">
        <v>4</v>
      </c>
      <c r="C15" s="49"/>
    </row>
    <row r="16" spans="1:11" s="21" customFormat="1" x14ac:dyDescent="0.45">
      <c r="B16" s="20">
        <f>C16/C13</f>
        <v>0.29365145425043948</v>
      </c>
      <c r="C16" s="29">
        <f>SUM(F5:F7)</f>
        <v>390622447</v>
      </c>
    </row>
    <row r="17" spans="2:4" s="21" customFormat="1" x14ac:dyDescent="0.45"/>
    <row r="18" spans="2:4" s="21" customFormat="1" x14ac:dyDescent="0.45">
      <c r="B18" s="48" t="s">
        <v>14</v>
      </c>
      <c r="C18" s="49"/>
    </row>
    <row r="19" spans="2:4" s="21" customFormat="1" x14ac:dyDescent="0.45">
      <c r="B19" s="20">
        <f>C19/C16</f>
        <v>0.26695731082755725</v>
      </c>
      <c r="C19" s="28">
        <f>SUM(I5,I6,I7)</f>
        <v>104279518</v>
      </c>
    </row>
    <row r="20" spans="2:4" s="21" customFormat="1" x14ac:dyDescent="0.45"/>
    <row r="21" spans="2:4" s="21" customFormat="1" x14ac:dyDescent="0.45">
      <c r="B21" s="48" t="s">
        <v>15</v>
      </c>
      <c r="C21" s="49"/>
      <c r="D21" s="49"/>
    </row>
    <row r="22" spans="2:4" s="21" customFormat="1" x14ac:dyDescent="0.45">
      <c r="B22" s="17">
        <v>46143</v>
      </c>
      <c r="C22" s="29">
        <f>CMA!I28+개인연금!F28+퇴직연금!F28</f>
        <v>4261901</v>
      </c>
      <c r="D22" s="20">
        <f>C22/C16</f>
        <v>1.0910537867784132E-2</v>
      </c>
    </row>
    <row r="23" spans="2:4" s="21" customFormat="1" x14ac:dyDescent="0.45"/>
  </sheetData>
  <mergeCells count="5">
    <mergeCell ref="B15:C15"/>
    <mergeCell ref="B21:D21"/>
    <mergeCell ref="B9:C9"/>
    <mergeCell ref="B18:C18"/>
    <mergeCell ref="B12:C12"/>
  </mergeCells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workbookViewId="0">
      <selection activeCell="F34" sqref="F34"/>
    </sheetView>
  </sheetViews>
  <sheetFormatPr defaultRowHeight="17" x14ac:dyDescent="0.45"/>
  <cols>
    <col min="1" max="1" width="3.33203125" style="22" customWidth="1"/>
    <col min="2" max="2" width="11" style="22" bestFit="1" customWidth="1"/>
    <col min="3" max="3" width="13" style="22" bestFit="1" customWidth="1"/>
    <col min="4" max="4" width="28.9140625" style="22" customWidth="1"/>
    <col min="5" max="5" width="29.1640625" style="22" bestFit="1" customWidth="1"/>
    <col min="6" max="6" width="23.5" style="22" customWidth="1"/>
    <col min="7" max="7" width="23" style="22" customWidth="1"/>
    <col min="8" max="8" width="20.83203125" style="22" customWidth="1"/>
    <col min="9" max="9" width="13.83203125" style="22" bestFit="1" customWidth="1"/>
  </cols>
  <sheetData>
    <row r="1" spans="2:9" ht="17.5" customHeight="1" x14ac:dyDescent="0.45"/>
    <row r="2" spans="2:9" x14ac:dyDescent="0.45">
      <c r="B2" s="55" t="s">
        <v>16</v>
      </c>
      <c r="C2" s="6" t="s">
        <v>17</v>
      </c>
      <c r="D2" s="5">
        <v>1</v>
      </c>
      <c r="E2" s="5">
        <v>3</v>
      </c>
      <c r="F2" s="5">
        <v>3</v>
      </c>
      <c r="G2" s="5">
        <v>4</v>
      </c>
      <c r="H2" s="5">
        <v>5</v>
      </c>
      <c r="I2" s="51" t="s">
        <v>18</v>
      </c>
    </row>
    <row r="3" spans="2:9" x14ac:dyDescent="0.45">
      <c r="B3" s="52"/>
      <c r="C3" s="6" t="s">
        <v>19</v>
      </c>
      <c r="D3" s="11" t="s">
        <v>20</v>
      </c>
      <c r="E3" s="12" t="s">
        <v>21</v>
      </c>
      <c r="F3" s="11" t="s">
        <v>22</v>
      </c>
      <c r="G3" s="11" t="s">
        <v>58</v>
      </c>
      <c r="H3" s="11"/>
      <c r="I3" s="52"/>
    </row>
    <row r="4" spans="2:9" ht="17.5" customHeight="1" x14ac:dyDescent="0.45">
      <c r="B4" s="53"/>
      <c r="C4" s="6" t="s">
        <v>23</v>
      </c>
      <c r="D4" s="7" t="s">
        <v>24</v>
      </c>
      <c r="E4" s="7" t="s">
        <v>25</v>
      </c>
      <c r="F4" s="7" t="s">
        <v>26</v>
      </c>
      <c r="G4" s="7" t="s">
        <v>59</v>
      </c>
      <c r="H4" s="7"/>
      <c r="I4" s="53"/>
    </row>
    <row r="5" spans="2:9" x14ac:dyDescent="0.45">
      <c r="B5" s="55" t="s">
        <v>27</v>
      </c>
      <c r="C5" s="23" t="s">
        <v>28</v>
      </c>
      <c r="D5" s="30">
        <v>0.4</v>
      </c>
      <c r="E5" s="30">
        <v>0.3</v>
      </c>
      <c r="F5" s="30">
        <v>0.2</v>
      </c>
      <c r="G5" s="30">
        <v>0.1</v>
      </c>
      <c r="H5" s="30"/>
      <c r="I5" s="18">
        <f>SUM(D5:H5)</f>
        <v>0.99999999999999989</v>
      </c>
    </row>
    <row r="6" spans="2:9" ht="17.5" customHeight="1" x14ac:dyDescent="0.45">
      <c r="B6" s="52"/>
      <c r="C6" s="23" t="s">
        <v>29</v>
      </c>
      <c r="D6" s="30">
        <v>0.4</v>
      </c>
      <c r="E6" s="30">
        <v>0.4</v>
      </c>
      <c r="F6" s="30">
        <v>0.1</v>
      </c>
      <c r="G6" s="30">
        <v>0.2</v>
      </c>
      <c r="H6" s="30"/>
      <c r="I6" s="18"/>
    </row>
    <row r="7" spans="2:9" ht="17.5" customHeight="1" x14ac:dyDescent="0.45">
      <c r="B7" s="53"/>
      <c r="C7" s="23" t="s">
        <v>30</v>
      </c>
      <c r="D7" s="31">
        <f>Assets!$E$5*(D5)*D6</f>
        <v>190491922.56000003</v>
      </c>
      <c r="E7" s="31">
        <f>Assets!$E$5*(E5)*E6</f>
        <v>142868941.92000002</v>
      </c>
      <c r="F7" s="31">
        <f>Assets!$E$5*(F5)*F6</f>
        <v>23811490.320000004</v>
      </c>
      <c r="G7" s="31">
        <f>Assets!$E$5*(G5)*G6</f>
        <v>23811490.320000004</v>
      </c>
      <c r="H7" s="31">
        <f>Assets!$E$5*(H5)*H6</f>
        <v>0</v>
      </c>
      <c r="I7" s="32">
        <f>SUM(D7:G7)</f>
        <v>380983845.12</v>
      </c>
    </row>
    <row r="8" spans="2:9" s="21" customFormat="1" ht="17.5" customHeight="1" x14ac:dyDescent="0.45">
      <c r="B8" s="55" t="s">
        <v>31</v>
      </c>
      <c r="C8" s="33" t="s">
        <v>32</v>
      </c>
      <c r="D8" s="34">
        <v>8597</v>
      </c>
      <c r="E8" s="34">
        <v>874</v>
      </c>
      <c r="F8" s="34">
        <v>237</v>
      </c>
      <c r="G8" s="34">
        <v>197</v>
      </c>
      <c r="H8" s="34"/>
      <c r="I8" s="8"/>
    </row>
    <row r="9" spans="2:9" s="21" customFormat="1" ht="17.5" customHeight="1" x14ac:dyDescent="0.45">
      <c r="B9" s="52"/>
      <c r="C9" s="33" t="s">
        <v>33</v>
      </c>
      <c r="D9" s="34">
        <v>19902</v>
      </c>
      <c r="E9" s="34">
        <v>113407</v>
      </c>
      <c r="F9" s="34">
        <v>40200</v>
      </c>
      <c r="G9" s="34">
        <v>48450</v>
      </c>
      <c r="H9" s="34"/>
      <c r="I9" s="8"/>
    </row>
    <row r="10" spans="2:9" ht="17.5" customHeight="1" x14ac:dyDescent="0.45">
      <c r="B10" s="52"/>
      <c r="C10" s="6" t="s">
        <v>4</v>
      </c>
      <c r="D10" s="31">
        <f>D9*D8</f>
        <v>171097494</v>
      </c>
      <c r="E10" s="31">
        <f>E9*E8</f>
        <v>99117718</v>
      </c>
      <c r="F10" s="31">
        <f>F9*F8</f>
        <v>9527400</v>
      </c>
      <c r="G10" s="31">
        <f>G9*G8</f>
        <v>9544650</v>
      </c>
      <c r="H10" s="31">
        <f>H9*H8</f>
        <v>0</v>
      </c>
      <c r="I10" s="35">
        <f>SUM(D10:G10)</f>
        <v>289287262</v>
      </c>
    </row>
    <row r="11" spans="2:9" ht="17.5" customHeight="1" x14ac:dyDescent="0.45">
      <c r="B11" s="53"/>
      <c r="C11" s="23" t="s">
        <v>34</v>
      </c>
      <c r="D11" s="36">
        <f>D10/$I$10</f>
        <v>0.59144496310383687</v>
      </c>
      <c r="E11" s="36">
        <f>E10/$I$10</f>
        <v>0.34262731554353748</v>
      </c>
      <c r="F11" s="36">
        <f>F10/$I$10</f>
        <v>3.2934046021010077E-2</v>
      </c>
      <c r="G11" s="36">
        <f>G10/$I$10</f>
        <v>3.2993675331615534E-2</v>
      </c>
      <c r="H11" s="36">
        <f>H10/$I$10</f>
        <v>0</v>
      </c>
      <c r="I11" s="37">
        <f>SUM(D11:G11)</f>
        <v>1</v>
      </c>
    </row>
    <row r="12" spans="2:9" x14ac:dyDescent="0.45">
      <c r="B12" s="56" t="s">
        <v>35</v>
      </c>
      <c r="C12" s="23" t="s">
        <v>36</v>
      </c>
      <c r="D12" s="38">
        <v>26250</v>
      </c>
      <c r="E12" s="38">
        <v>159305</v>
      </c>
      <c r="F12" s="38">
        <v>40200</v>
      </c>
      <c r="G12" s="38">
        <v>48450</v>
      </c>
      <c r="H12" s="39"/>
      <c r="I12" s="23"/>
    </row>
    <row r="13" spans="2:9" x14ac:dyDescent="0.45">
      <c r="B13" s="50"/>
      <c r="C13" s="6" t="s">
        <v>37</v>
      </c>
      <c r="D13" s="9">
        <f>IF(D9&gt;0, (D12-D9)/D9, 0)</f>
        <v>0.31896291829966839</v>
      </c>
      <c r="E13" s="9">
        <f>IF(E9&gt;0, (E12-E9)/E9, 0)</f>
        <v>0.40471928540566277</v>
      </c>
      <c r="F13" s="9">
        <f>IF(F9&gt;0, (F12-F9)/F9, 0)</f>
        <v>0</v>
      </c>
      <c r="G13" s="9">
        <f>IF(G9&gt;0, (G12-G9)/G9, 0)</f>
        <v>0</v>
      </c>
      <c r="H13" s="9">
        <f>IF(H9&gt;0, (H12-H9)/H9, 0)</f>
        <v>0</v>
      </c>
      <c r="I13" s="9">
        <f>I14/I10</f>
        <v>0.32731689375248052</v>
      </c>
    </row>
    <row r="14" spans="2:9" x14ac:dyDescent="0.45">
      <c r="B14" s="50"/>
      <c r="C14" s="23" t="s">
        <v>38</v>
      </c>
      <c r="D14" s="40">
        <f>D10*D13</f>
        <v>54573756</v>
      </c>
      <c r="E14" s="40">
        <f>E10*E13</f>
        <v>40114852</v>
      </c>
      <c r="F14" s="40">
        <f>F10*F13</f>
        <v>0</v>
      </c>
      <c r="G14" s="40">
        <f>G10*G13</f>
        <v>0</v>
      </c>
      <c r="H14" s="40">
        <f>H10*H13</f>
        <v>0</v>
      </c>
      <c r="I14" s="40">
        <f>SUM(D14:G14)</f>
        <v>94688608</v>
      </c>
    </row>
    <row r="15" spans="2:9" x14ac:dyDescent="0.45">
      <c r="B15" s="50"/>
      <c r="C15" s="23" t="s">
        <v>35</v>
      </c>
      <c r="D15" s="40">
        <f>D7-D10</f>
        <v>19394428.560000032</v>
      </c>
      <c r="E15" s="40">
        <f>E7-E10</f>
        <v>43751223.920000017</v>
      </c>
      <c r="F15" s="40">
        <f>F7-F10</f>
        <v>14284090.320000004</v>
      </c>
      <c r="G15" s="40">
        <f>G7-G10</f>
        <v>14266840.320000004</v>
      </c>
      <c r="H15" s="40">
        <f>H7-H10</f>
        <v>0</v>
      </c>
      <c r="I15" s="24">
        <f>SUM(D15:G15)</f>
        <v>91696583.120000064</v>
      </c>
    </row>
    <row r="16" spans="2:9" ht="17.5" customHeight="1" x14ac:dyDescent="0.45">
      <c r="B16" s="50"/>
      <c r="C16" s="23" t="s">
        <v>39</v>
      </c>
      <c r="D16" s="24">
        <f t="shared" ref="D16:I16" si="0">IFERROR((D7-D10)/D12, 0)</f>
        <v>738.8353737142869</v>
      </c>
      <c r="E16" s="24">
        <f t="shared" si="0"/>
        <v>274.63810878503512</v>
      </c>
      <c r="F16" s="24">
        <f t="shared" ref="F16:G16" si="1">IFERROR((F7-F10)/F12, 0)</f>
        <v>355.3256298507464</v>
      </c>
      <c r="G16" s="24">
        <f t="shared" si="1"/>
        <v>294.46522848297224</v>
      </c>
      <c r="H16" s="24">
        <f t="shared" si="0"/>
        <v>0</v>
      </c>
      <c r="I16" s="40">
        <f t="shared" si="0"/>
        <v>0</v>
      </c>
    </row>
    <row r="17" spans="2:9" s="21" customFormat="1" ht="17.5" customHeight="1" x14ac:dyDescent="0.45">
      <c r="B17" s="49"/>
      <c r="C17" s="23" t="s">
        <v>40</v>
      </c>
      <c r="D17" s="34">
        <v>1</v>
      </c>
      <c r="E17" s="34">
        <v>1</v>
      </c>
      <c r="F17" s="34">
        <v>1</v>
      </c>
      <c r="G17" s="34">
        <v>1</v>
      </c>
      <c r="H17" s="34">
        <v>1</v>
      </c>
      <c r="I17" s="40"/>
    </row>
    <row r="18" spans="2:9" s="21" customFormat="1" ht="17.5" customHeight="1" x14ac:dyDescent="0.45">
      <c r="B18" s="49"/>
      <c r="C18" s="14">
        <v>0.4</v>
      </c>
      <c r="D18" s="24">
        <f>IF(D$17=1, D$16*Assets!$K5, -D$8*Assets!$K5)</f>
        <v>295.53414948571475</v>
      </c>
      <c r="E18" s="24">
        <f>IF(E$17=1, E$16*Assets!$K5, -E$8*Assets!$K5)</f>
        <v>109.85524351401405</v>
      </c>
      <c r="F18" s="24">
        <f>IF(F$17=1, F$16*Assets!$K5, -F$8*Assets!$K5)</f>
        <v>142.13025194029856</v>
      </c>
      <c r="G18" s="24">
        <f>IF(G$17=1, G$16*Assets!$K5, -G$8*Assets!$K5)</f>
        <v>117.7860913931889</v>
      </c>
      <c r="H18" s="24">
        <f>IF(H$17=1, H$16*Assets!$K5, -H$8*Assets!$K5)</f>
        <v>0</v>
      </c>
      <c r="I18" s="40"/>
    </row>
    <row r="19" spans="2:9" s="21" customFormat="1" ht="17.5" customHeight="1" x14ac:dyDescent="0.45">
      <c r="B19" s="49"/>
      <c r="C19" s="14">
        <v>0.3</v>
      </c>
      <c r="D19" s="24">
        <f>IF(D$17=1, D$16*Assets!$K6, -D$8*Assets!$K6)</f>
        <v>221.65061211428608</v>
      </c>
      <c r="E19" s="24">
        <f>IF(E$17=1, E$16*Assets!$K6, -E$8*Assets!$K6)</f>
        <v>82.391432635510526</v>
      </c>
      <c r="F19" s="24">
        <f>IF(F$17=1, F$16*Assets!$K6, -F$8*Assets!$K6)</f>
        <v>106.59768895522392</v>
      </c>
      <c r="G19" s="24">
        <f>IF(G$17=1, G$16*Assets!$K6, -G$8*Assets!$K6)</f>
        <v>88.339568544891662</v>
      </c>
      <c r="H19" s="24">
        <f>IF(H$17=1, H$16*Assets!$K6, -H$8*Assets!$K6)</f>
        <v>0</v>
      </c>
      <c r="I19" s="40"/>
    </row>
    <row r="20" spans="2:9" s="21" customFormat="1" ht="17.5" customHeight="1" x14ac:dyDescent="0.45">
      <c r="B20" s="49"/>
      <c r="C20" s="14">
        <v>0.2</v>
      </c>
      <c r="D20" s="24">
        <f>IF(D$17=1, D$16*Assets!$K7, -D$8*Assets!$K7)</f>
        <v>147.76707474285737</v>
      </c>
      <c r="E20" s="24">
        <f>IF(E$17=1, E$16*Assets!$K7, -E$8*Assets!$K7)</f>
        <v>54.927621757007024</v>
      </c>
      <c r="F20" s="24">
        <f>IF(F$17=1, F$16*Assets!$K7, -F$8*Assets!$K7)</f>
        <v>71.065125970149282</v>
      </c>
      <c r="G20" s="24">
        <f>IF(G$17=1, G$16*Assets!$K7, -G$8*Assets!$K7)</f>
        <v>58.893045696594449</v>
      </c>
      <c r="H20" s="24">
        <f>IF(H$17=1, H$16*Assets!$K7, -H$8*Assets!$K7)</f>
        <v>0</v>
      </c>
      <c r="I20" s="40"/>
    </row>
    <row r="21" spans="2:9" s="21" customFormat="1" ht="17.5" customHeight="1" x14ac:dyDescent="0.45">
      <c r="B21" s="49"/>
      <c r="C21" s="14">
        <v>0.1</v>
      </c>
      <c r="D21" s="24">
        <f>IF(D$17=1, D$16*Assets!$K8, -D$8*Assets!$K8)</f>
        <v>73.883537371428687</v>
      </c>
      <c r="E21" s="24">
        <f>IF(E$17=1, E$16*Assets!$K8, -E$8*Assets!$K8)</f>
        <v>27.463810878503512</v>
      </c>
      <c r="F21" s="24">
        <f>IF(F$17=1, F$16*Assets!$K8, -F$8*Assets!$K8)</f>
        <v>35.532562985074641</v>
      </c>
      <c r="G21" s="24">
        <f>IF(G$17=1, G$16*Assets!$K8, -G$8*Assets!$K8)</f>
        <v>29.446522848297224</v>
      </c>
      <c r="H21" s="24">
        <f>IF(H$17=1, H$16*Assets!$K8, -H$8*Assets!$K8)</f>
        <v>0</v>
      </c>
      <c r="I21" s="40"/>
    </row>
    <row r="22" spans="2:9" s="21" customFormat="1" ht="17.5" customHeight="1" x14ac:dyDescent="0.45">
      <c r="C22" s="10"/>
      <c r="D22" s="41"/>
      <c r="E22" s="41"/>
      <c r="F22" s="41"/>
      <c r="G22" s="41"/>
      <c r="H22" s="41"/>
      <c r="I22" s="41"/>
    </row>
    <row r="23" spans="2:9" x14ac:dyDescent="0.45">
      <c r="B23" s="54" t="s">
        <v>41</v>
      </c>
      <c r="C23" s="6" t="s">
        <v>42</v>
      </c>
      <c r="D23" s="31">
        <f>D8+D16</f>
        <v>9335.8353737142861</v>
      </c>
      <c r="E23" s="31">
        <f>E8+E16</f>
        <v>1148.638108785035</v>
      </c>
      <c r="F23" s="31">
        <f>F8+F16</f>
        <v>592.3256298507464</v>
      </c>
      <c r="G23" s="31">
        <f>G8+G16</f>
        <v>491.46522848297224</v>
      </c>
      <c r="H23" s="31">
        <f>H8+H16</f>
        <v>0</v>
      </c>
      <c r="I23" s="51" t="s">
        <v>43</v>
      </c>
    </row>
    <row r="24" spans="2:9" x14ac:dyDescent="0.45">
      <c r="B24" s="52"/>
      <c r="C24" s="6" t="s">
        <v>44</v>
      </c>
      <c r="D24" s="42">
        <f>IF(D10&gt;0,(((D8*D9)+(D16*D12))/(D8+D16)),0)</f>
        <v>20404.378926426198</v>
      </c>
      <c r="E24" s="42">
        <f>IF(E10&gt;0,(((E8*E9)+(E16*E12))/(E8+E16)),0)</f>
        <v>124381.16133123841</v>
      </c>
      <c r="F24" s="42">
        <f>IF(F10&gt;0,(((F8*F9)+(F16*F12))/(F8+F16)),0)</f>
        <v>40200.000000000007</v>
      </c>
      <c r="G24" s="42">
        <f>IF(G10&gt;0,(((G8*G9)+(G16*G12))/(G8+G16)),0)</f>
        <v>48450</v>
      </c>
      <c r="H24" s="42">
        <f>IF(H10&gt;0,(((H8*H9)+(H16*H12))/(H8+H16)),0)</f>
        <v>0</v>
      </c>
      <c r="I24" s="53"/>
    </row>
    <row r="25" spans="2:9" ht="17.5" customHeight="1" x14ac:dyDescent="0.45">
      <c r="B25" s="53"/>
      <c r="C25" s="6" t="s">
        <v>4</v>
      </c>
      <c r="D25" s="24">
        <f>D23*D24</f>
        <v>190491922.56000003</v>
      </c>
      <c r="E25" s="24">
        <f>E23*E24</f>
        <v>142868941.92000002</v>
      </c>
      <c r="F25" s="24">
        <f>F23*F24</f>
        <v>23811490.320000008</v>
      </c>
      <c r="G25" s="24">
        <f>G23*G24</f>
        <v>23811490.320000004</v>
      </c>
      <c r="H25" s="24">
        <f>H23*H24</f>
        <v>0</v>
      </c>
      <c r="I25" s="43">
        <f>SUM(D25:G25)</f>
        <v>380983845.12</v>
      </c>
    </row>
    <row r="27" spans="2:9" x14ac:dyDescent="0.45">
      <c r="B27" s="54" t="s">
        <v>45</v>
      </c>
      <c r="C27" s="23" t="s">
        <v>46</v>
      </c>
      <c r="D27" s="15">
        <v>46161</v>
      </c>
      <c r="E27" s="15">
        <v>46148</v>
      </c>
      <c r="F27" s="15"/>
      <c r="G27" s="16"/>
      <c r="H27" s="16"/>
      <c r="I27" s="19">
        <f>I28/I$10</f>
        <v>9.1604621015079473E-3</v>
      </c>
    </row>
    <row r="28" spans="2:9" x14ac:dyDescent="0.45">
      <c r="B28" s="53"/>
      <c r="C28" s="23" t="s">
        <v>47</v>
      </c>
      <c r="D28" s="24">
        <v>2549100</v>
      </c>
      <c r="E28" s="24">
        <v>100905</v>
      </c>
      <c r="F28" s="24"/>
      <c r="G28" s="24"/>
      <c r="H28" s="24"/>
      <c r="I28" s="44">
        <f>SUM(D28:H28)</f>
        <v>2650005</v>
      </c>
    </row>
    <row r="30" spans="2:9" x14ac:dyDescent="0.45">
      <c r="D30" s="45">
        <f>D18*D12</f>
        <v>7757771.4240000118</v>
      </c>
      <c r="E30" s="45">
        <f>E18*E12</f>
        <v>17500489.568000007</v>
      </c>
      <c r="F30" s="45">
        <f>F18*F12</f>
        <v>5713636.1280000024</v>
      </c>
      <c r="G30" s="45">
        <f>G18*G12</f>
        <v>5706736.1280000024</v>
      </c>
      <c r="H30" s="45">
        <f>H18*H12</f>
        <v>0</v>
      </c>
    </row>
    <row r="32" spans="2:9" x14ac:dyDescent="0.45">
      <c r="E32" s="2"/>
    </row>
  </sheetData>
  <mergeCells count="8">
    <mergeCell ref="I2:I4"/>
    <mergeCell ref="B27:B28"/>
    <mergeCell ref="B23:B25"/>
    <mergeCell ref="B8:B11"/>
    <mergeCell ref="B12:B21"/>
    <mergeCell ref="I23:I24"/>
    <mergeCell ref="B2:B4"/>
    <mergeCell ref="B5:B7"/>
  </mergeCells>
  <phoneticPr fontId="4" type="noConversion"/>
  <conditionalFormatting sqref="D16:D17">
    <cfRule type="expression" dxfId="32" priority="16">
      <formula>#REF!+#REF!&gt;0</formula>
    </cfRule>
  </conditionalFormatting>
  <conditionalFormatting sqref="D18:D21">
    <cfRule type="expression" dxfId="31" priority="24">
      <formula>#REF!+#REF!&gt;0</formula>
    </cfRule>
  </conditionalFormatting>
  <conditionalFormatting sqref="D22:F22">
    <cfRule type="expression" dxfId="30" priority="25">
      <formula>B22+#REF!&gt;0</formula>
    </cfRule>
  </conditionalFormatting>
  <conditionalFormatting sqref="D13:I13">
    <cfRule type="expression" dxfId="29" priority="5" stopIfTrue="1">
      <formula>D13&gt;0</formula>
    </cfRule>
  </conditionalFormatting>
  <conditionalFormatting sqref="D13:I14">
    <cfRule type="expression" dxfId="28" priority="3">
      <formula>D13&lt;0</formula>
    </cfRule>
  </conditionalFormatting>
  <conditionalFormatting sqref="D14:I14">
    <cfRule type="expression" dxfId="27" priority="4">
      <formula>D14&gt;0</formula>
    </cfRule>
  </conditionalFormatting>
  <conditionalFormatting sqref="D15:I15">
    <cfRule type="expression" dxfId="26" priority="2">
      <formula>#REF!+C15&gt;0</formula>
    </cfRule>
  </conditionalFormatting>
  <conditionalFormatting sqref="E16:G17">
    <cfRule type="expression" dxfId="25" priority="1">
      <formula>C16+#REF!&gt;0</formula>
    </cfRule>
  </conditionalFormatting>
  <conditionalFormatting sqref="E18:G21">
    <cfRule type="expression" dxfId="24" priority="6">
      <formula>#REF!+#REF!&gt;0</formula>
    </cfRule>
  </conditionalFormatting>
  <conditionalFormatting sqref="G22">
    <cfRule type="expression" dxfId="23" priority="7">
      <formula>F22+#REF!&gt;0</formula>
    </cfRule>
  </conditionalFormatting>
  <conditionalFormatting sqref="H16:H22">
    <cfRule type="expression" dxfId="22" priority="17">
      <formula>#REF!+#REF!&gt;0</formula>
    </cfRule>
  </conditionalFormatting>
  <conditionalFormatting sqref="I16:I22">
    <cfRule type="expression" dxfId="21" priority="76">
      <formula>G16+#REF!&gt;0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0"/>
  <sheetViews>
    <sheetView tabSelected="1" workbookViewId="0">
      <selection activeCell="H34" sqref="H34"/>
    </sheetView>
  </sheetViews>
  <sheetFormatPr defaultRowHeight="17" x14ac:dyDescent="0.45"/>
  <cols>
    <col min="1" max="1" width="3.33203125" style="22" customWidth="1"/>
    <col min="2" max="2" width="11" style="22" bestFit="1" customWidth="1"/>
    <col min="3" max="3" width="13" style="22" bestFit="1" customWidth="1"/>
    <col min="4" max="4" width="39" style="22" customWidth="1"/>
    <col min="5" max="5" width="36.6640625" style="22" customWidth="1"/>
    <col min="6" max="6" width="13.83203125" style="22" bestFit="1" customWidth="1"/>
    <col min="8" max="8" width="14.25" bestFit="1" customWidth="1"/>
    <col min="9" max="9" width="13.1640625" bestFit="1" customWidth="1"/>
  </cols>
  <sheetData>
    <row r="1" spans="2:6" ht="17.5" customHeight="1" x14ac:dyDescent="0.45"/>
    <row r="2" spans="2:6" x14ac:dyDescent="0.45">
      <c r="B2" s="55" t="s">
        <v>16</v>
      </c>
      <c r="C2" s="6" t="s">
        <v>17</v>
      </c>
      <c r="D2" s="5">
        <v>1</v>
      </c>
      <c r="E2" s="5">
        <v>2</v>
      </c>
      <c r="F2" s="51" t="s">
        <v>18</v>
      </c>
    </row>
    <row r="3" spans="2:6" x14ac:dyDescent="0.45">
      <c r="B3" s="52"/>
      <c r="C3" s="6" t="s">
        <v>19</v>
      </c>
      <c r="D3" s="11" t="s">
        <v>48</v>
      </c>
      <c r="E3" s="11" t="s">
        <v>49</v>
      </c>
      <c r="F3" s="52"/>
    </row>
    <row r="4" spans="2:6" ht="17.5" customHeight="1" x14ac:dyDescent="0.45">
      <c r="B4" s="53"/>
      <c r="C4" s="6" t="s">
        <v>23</v>
      </c>
      <c r="D4" s="7" t="s">
        <v>50</v>
      </c>
      <c r="E4" s="7" t="s">
        <v>51</v>
      </c>
      <c r="F4" s="53"/>
    </row>
    <row r="5" spans="2:6" x14ac:dyDescent="0.45">
      <c r="B5" s="55" t="s">
        <v>52</v>
      </c>
      <c r="C5" s="23" t="s">
        <v>28</v>
      </c>
      <c r="D5" s="30">
        <v>0.7</v>
      </c>
      <c r="E5" s="30">
        <v>0</v>
      </c>
      <c r="F5" s="18">
        <f>SUM(A5:E5)</f>
        <v>0.7</v>
      </c>
    </row>
    <row r="6" spans="2:6" ht="17.5" customHeight="1" x14ac:dyDescent="0.45">
      <c r="B6" s="52"/>
      <c r="C6" s="23" t="s">
        <v>29</v>
      </c>
      <c r="D6" s="30">
        <v>1</v>
      </c>
      <c r="E6" s="30">
        <v>0</v>
      </c>
      <c r="F6" s="18"/>
    </row>
    <row r="7" spans="2:6" ht="17.5" customHeight="1" x14ac:dyDescent="0.45">
      <c r="B7" s="53"/>
      <c r="C7" s="23" t="s">
        <v>53</v>
      </c>
      <c r="D7" s="31">
        <f>Assets!$E$6*(D5)*D6</f>
        <v>88219426.399999991</v>
      </c>
      <c r="E7" s="31">
        <f>Assets!$E$6*(E5)*E6</f>
        <v>0</v>
      </c>
      <c r="F7" s="35">
        <f>SUM(D7:E7)</f>
        <v>88219426.399999991</v>
      </c>
    </row>
    <row r="8" spans="2:6" ht="17.5" customHeight="1" x14ac:dyDescent="0.45">
      <c r="B8" s="55" t="s">
        <v>31</v>
      </c>
      <c r="C8" s="33" t="s">
        <v>32</v>
      </c>
      <c r="D8" s="34">
        <v>8876</v>
      </c>
      <c r="E8" s="34"/>
      <c r="F8" s="8"/>
    </row>
    <row r="9" spans="2:6" ht="17.5" customHeight="1" x14ac:dyDescent="0.45">
      <c r="B9" s="52"/>
      <c r="C9" s="33" t="s">
        <v>33</v>
      </c>
      <c r="D9" s="34">
        <v>9883</v>
      </c>
      <c r="E9" s="34"/>
      <c r="F9" s="8"/>
    </row>
    <row r="10" spans="2:6" ht="17.5" customHeight="1" x14ac:dyDescent="0.45">
      <c r="B10" s="52"/>
      <c r="C10" s="6" t="s">
        <v>4</v>
      </c>
      <c r="D10" s="31">
        <f>D9*D8</f>
        <v>87721508</v>
      </c>
      <c r="E10" s="31">
        <f>E9*E8</f>
        <v>0</v>
      </c>
      <c r="F10" s="35">
        <f>SUM(D10:E10)</f>
        <v>87721508</v>
      </c>
    </row>
    <row r="11" spans="2:6" ht="17.5" customHeight="1" x14ac:dyDescent="0.45">
      <c r="B11" s="53"/>
      <c r="C11" s="23" t="s">
        <v>34</v>
      </c>
      <c r="D11" s="36">
        <f>IFERROR(D10/$F$10, 0)</f>
        <v>1</v>
      </c>
      <c r="E11" s="36">
        <f>IFERROR(E10/$F$10, 0)</f>
        <v>0</v>
      </c>
      <c r="F11" s="37">
        <f>SUM(D11:E11)</f>
        <v>1</v>
      </c>
    </row>
    <row r="12" spans="2:6" x14ac:dyDescent="0.45">
      <c r="B12" s="57" t="s">
        <v>35</v>
      </c>
      <c r="C12" s="23" t="s">
        <v>36</v>
      </c>
      <c r="D12" s="38">
        <v>10940</v>
      </c>
      <c r="E12" s="38">
        <v>49355</v>
      </c>
      <c r="F12" s="23"/>
    </row>
    <row r="13" spans="2:6" x14ac:dyDescent="0.45">
      <c r="B13" s="58"/>
      <c r="C13" s="6" t="s">
        <v>37</v>
      </c>
      <c r="D13" s="9">
        <f>IF(D9&gt;0, (D12-D9)/D9, 0)</f>
        <v>0.1069513305676414</v>
      </c>
      <c r="E13" s="9">
        <f>IF(E9&gt;0, (E12-E9)/E9, 0)</f>
        <v>0</v>
      </c>
      <c r="F13" s="9">
        <f>IFERROR(F14/F10, 0)</f>
        <v>0.1069513305676414</v>
      </c>
    </row>
    <row r="14" spans="2:6" x14ac:dyDescent="0.45">
      <c r="B14" s="58"/>
      <c r="C14" s="23" t="s">
        <v>38</v>
      </c>
      <c r="D14" s="40">
        <f>D10*D13</f>
        <v>9381932</v>
      </c>
      <c r="E14" s="40">
        <f>E10*E13</f>
        <v>0</v>
      </c>
      <c r="F14" s="40">
        <f>SUM(D14:E14)</f>
        <v>9381932</v>
      </c>
    </row>
    <row r="15" spans="2:6" x14ac:dyDescent="0.45">
      <c r="B15" s="58"/>
      <c r="C15" s="23" t="s">
        <v>54</v>
      </c>
      <c r="D15" s="24">
        <f>D7-D10</f>
        <v>497918.39999999106</v>
      </c>
      <c r="E15" s="24">
        <f>E7-E10</f>
        <v>0</v>
      </c>
      <c r="F15" s="24">
        <f>SUM(A15:D15)</f>
        <v>497918.39999999106</v>
      </c>
    </row>
    <row r="16" spans="2:6" ht="17.5" customHeight="1" x14ac:dyDescent="0.45">
      <c r="B16" s="58"/>
      <c r="C16" s="23" t="s">
        <v>39</v>
      </c>
      <c r="D16" s="40">
        <f>IFERROR((D7-D10)/D12, 0)</f>
        <v>45.513564899450735</v>
      </c>
      <c r="E16" s="40">
        <f>IFERROR((E7-E10)/E12, 0)</f>
        <v>0</v>
      </c>
      <c r="F16" s="40">
        <f>IFERROR((F7-F10)/F12, 0)</f>
        <v>0</v>
      </c>
    </row>
    <row r="17" spans="2:9" s="21" customFormat="1" ht="17.5" customHeight="1" x14ac:dyDescent="0.45">
      <c r="B17" s="58"/>
      <c r="C17" s="23" t="s">
        <v>40</v>
      </c>
      <c r="D17" s="34">
        <v>1</v>
      </c>
      <c r="E17" s="34">
        <v>1</v>
      </c>
      <c r="F17" s="40"/>
    </row>
    <row r="18" spans="2:9" s="21" customFormat="1" ht="17.5" customHeight="1" x14ac:dyDescent="0.45">
      <c r="B18" s="58"/>
      <c r="C18" s="14">
        <v>0.4</v>
      </c>
      <c r="D18" s="24">
        <f>IF(D$17=1, D$16*Assets!$K5, -D$8*Assets!$K5)</f>
        <v>18.205425959780296</v>
      </c>
      <c r="E18" s="24">
        <f>IF(E$17=1, E$16*Assets!$K5, -E$8*Assets!$K5)</f>
        <v>0</v>
      </c>
      <c r="F18" s="40"/>
    </row>
    <row r="19" spans="2:9" s="21" customFormat="1" ht="17.5" customHeight="1" x14ac:dyDescent="0.45">
      <c r="B19" s="58"/>
      <c r="C19" s="14">
        <v>0.3</v>
      </c>
      <c r="D19" s="24">
        <f>IF(D$17=1, D$16*Assets!$K6, -D$8*Assets!$K6)</f>
        <v>13.654069469835219</v>
      </c>
      <c r="E19" s="24">
        <f>IF(E$17=1, E$16*Assets!$K6, -E$8*Assets!$K6)</f>
        <v>0</v>
      </c>
      <c r="F19" s="40"/>
    </row>
    <row r="20" spans="2:9" s="21" customFormat="1" ht="17.5" customHeight="1" x14ac:dyDescent="0.45">
      <c r="B20" s="58"/>
      <c r="C20" s="14">
        <v>0.2</v>
      </c>
      <c r="D20" s="24">
        <f>IF(D$17=1, D$16*Assets!$K7, -D$8*Assets!$K7)</f>
        <v>9.102712979890148</v>
      </c>
      <c r="E20" s="24">
        <f>IF(E$17=1, E$16*Assets!$K7, -E$8*Assets!$K7)</f>
        <v>0</v>
      </c>
      <c r="F20" s="40"/>
    </row>
    <row r="21" spans="2:9" s="21" customFormat="1" ht="17.5" customHeight="1" x14ac:dyDescent="0.45">
      <c r="B21" s="58"/>
      <c r="C21" s="14">
        <v>0.1</v>
      </c>
      <c r="D21" s="24">
        <f>IF(D$17=1, D$16*Assets!$K8, -D$8*Assets!$K8)</f>
        <v>4.551356489945074</v>
      </c>
      <c r="E21" s="24">
        <f>IF(E$17=1, E$16*Assets!$K8, -E$8*Assets!$K8)</f>
        <v>0</v>
      </c>
      <c r="F21" s="40"/>
    </row>
    <row r="22" spans="2:9" s="21" customFormat="1" ht="17.5" customHeight="1" x14ac:dyDescent="0.45">
      <c r="C22" s="10"/>
      <c r="D22" s="41"/>
      <c r="E22" s="41"/>
      <c r="F22" s="41"/>
    </row>
    <row r="23" spans="2:9" x14ac:dyDescent="0.45">
      <c r="B23" s="54" t="s">
        <v>41</v>
      </c>
      <c r="C23" s="6" t="s">
        <v>42</v>
      </c>
      <c r="D23" s="31">
        <f>D8+D16</f>
        <v>8921.513564899451</v>
      </c>
      <c r="E23" s="31">
        <f>E8+E16</f>
        <v>0</v>
      </c>
      <c r="F23" s="51" t="s">
        <v>43</v>
      </c>
    </row>
    <row r="24" spans="2:9" x14ac:dyDescent="0.45">
      <c r="B24" s="52"/>
      <c r="C24" s="6" t="s">
        <v>44</v>
      </c>
      <c r="D24" s="42">
        <f>IF(D10&gt;0,(((D8*D9)+(D16*D12))/(D8+D16)),0)</f>
        <v>9888.3923404082452</v>
      </c>
      <c r="E24" s="42">
        <f>IF(E10&gt;0,(((E8*E9)+(E16*E12))/(E8+E16)),0)</f>
        <v>0</v>
      </c>
      <c r="F24" s="53"/>
    </row>
    <row r="25" spans="2:9" ht="17.5" customHeight="1" x14ac:dyDescent="0.45">
      <c r="B25" s="53"/>
      <c r="C25" s="23" t="s">
        <v>55</v>
      </c>
      <c r="D25" s="46">
        <f>D23*D24</f>
        <v>88219426.399999991</v>
      </c>
      <c r="E25" s="46">
        <f>E23*E24</f>
        <v>0</v>
      </c>
      <c r="F25" s="43">
        <f>SUM(D25:E25)</f>
        <v>88219426.399999991</v>
      </c>
    </row>
    <row r="27" spans="2:9" x14ac:dyDescent="0.45">
      <c r="B27" s="54" t="s">
        <v>45</v>
      </c>
      <c r="C27" s="23" t="s">
        <v>46</v>
      </c>
      <c r="D27" s="15">
        <v>46148</v>
      </c>
      <c r="E27" s="15">
        <v>46148</v>
      </c>
      <c r="F27" s="19">
        <f>F28/F$10</f>
        <v>1.6818053333054875E-2</v>
      </c>
      <c r="H27" s="59">
        <f>F27*12</f>
        <v>0.2018166399966585</v>
      </c>
    </row>
    <row r="28" spans="2:9" x14ac:dyDescent="0.45">
      <c r="B28" s="53"/>
      <c r="C28" s="23" t="s">
        <v>47</v>
      </c>
      <c r="D28" s="24">
        <v>1434641</v>
      </c>
      <c r="E28" s="24">
        <v>40664</v>
      </c>
      <c r="F28" s="44">
        <f>SUM(D28:E28)</f>
        <v>1475305</v>
      </c>
      <c r="H28" s="60"/>
      <c r="I28" s="60"/>
    </row>
    <row r="29" spans="2:9" x14ac:dyDescent="0.45">
      <c r="H29" s="60"/>
      <c r="I29" s="60"/>
    </row>
    <row r="30" spans="2:9" x14ac:dyDescent="0.45">
      <c r="D30" s="45">
        <f>D18*D12</f>
        <v>199167.35999999644</v>
      </c>
    </row>
  </sheetData>
  <mergeCells count="8">
    <mergeCell ref="B27:B28"/>
    <mergeCell ref="B23:B25"/>
    <mergeCell ref="B8:B11"/>
    <mergeCell ref="F2:F4"/>
    <mergeCell ref="B12:B21"/>
    <mergeCell ref="B2:B4"/>
    <mergeCell ref="F23:F24"/>
    <mergeCell ref="B5:B7"/>
  </mergeCells>
  <phoneticPr fontId="4" type="noConversion"/>
  <conditionalFormatting sqref="D17:D21">
    <cfRule type="expression" dxfId="20" priority="2">
      <formula>#REF!+#REF!&gt;0</formula>
    </cfRule>
  </conditionalFormatting>
  <conditionalFormatting sqref="D13:F13">
    <cfRule type="expression" dxfId="19" priority="6" stopIfTrue="1">
      <formula>D13&gt;0</formula>
    </cfRule>
  </conditionalFormatting>
  <conditionalFormatting sqref="D13:F14">
    <cfRule type="expression" dxfId="18" priority="4">
      <formula>D13&lt;0</formula>
    </cfRule>
  </conditionalFormatting>
  <conditionalFormatting sqref="D14:F14">
    <cfRule type="expression" dxfId="17" priority="14">
      <formula>D14&gt;0</formula>
    </cfRule>
  </conditionalFormatting>
  <conditionalFormatting sqref="D15:F15">
    <cfRule type="expression" dxfId="16" priority="10">
      <formula>#REF!+C15&gt;0</formula>
    </cfRule>
  </conditionalFormatting>
  <conditionalFormatting sqref="D16:F16 F17:F21 D22:F22">
    <cfRule type="expression" dxfId="15" priority="9">
      <formula>B16+#REF!&gt;0</formula>
    </cfRule>
  </conditionalFormatting>
  <conditionalFormatting sqref="E17">
    <cfRule type="expression" dxfId="14" priority="3">
      <formula>C17+#REF!&gt;0</formula>
    </cfRule>
  </conditionalFormatting>
  <conditionalFormatting sqref="E18:E21">
    <cfRule type="expression" dxfId="13" priority="1">
      <formula>#REF!+#REF!&gt;0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28"/>
  <sheetViews>
    <sheetView workbookViewId="0">
      <selection activeCell="E37" sqref="E37"/>
    </sheetView>
  </sheetViews>
  <sheetFormatPr defaultRowHeight="17" x14ac:dyDescent="0.45"/>
  <cols>
    <col min="1" max="1" width="3.6640625" style="22" customWidth="1"/>
    <col min="2" max="2" width="11" style="22" bestFit="1" customWidth="1"/>
    <col min="3" max="3" width="13" style="22" bestFit="1" customWidth="1"/>
    <col min="4" max="4" width="31.9140625" style="22" bestFit="1" customWidth="1"/>
    <col min="5" max="5" width="26.9140625" style="22" customWidth="1"/>
    <col min="6" max="6" width="12.6640625" style="22" bestFit="1" customWidth="1"/>
  </cols>
  <sheetData>
    <row r="2" spans="2:6" x14ac:dyDescent="0.45">
      <c r="B2" s="55" t="s">
        <v>16</v>
      </c>
      <c r="C2" s="6" t="s">
        <v>17</v>
      </c>
      <c r="D2" s="5">
        <v>1</v>
      </c>
      <c r="E2" s="5">
        <v>2</v>
      </c>
      <c r="F2" s="51" t="s">
        <v>18</v>
      </c>
    </row>
    <row r="3" spans="2:6" x14ac:dyDescent="0.45">
      <c r="B3" s="52"/>
      <c r="C3" s="6" t="s">
        <v>19</v>
      </c>
      <c r="D3" s="11" t="s">
        <v>56</v>
      </c>
      <c r="E3" s="12"/>
      <c r="F3" s="52"/>
    </row>
    <row r="4" spans="2:6" x14ac:dyDescent="0.45">
      <c r="B4" s="53"/>
      <c r="C4" s="6" t="s">
        <v>23</v>
      </c>
      <c r="D4" s="7" t="s">
        <v>57</v>
      </c>
      <c r="E4" s="7"/>
      <c r="F4" s="53"/>
    </row>
    <row r="5" spans="2:6" x14ac:dyDescent="0.45">
      <c r="B5" s="55" t="s">
        <v>52</v>
      </c>
      <c r="C5" s="23" t="s">
        <v>28</v>
      </c>
      <c r="D5" s="30">
        <v>1</v>
      </c>
      <c r="E5" s="30"/>
      <c r="F5" s="18">
        <f>SUM(A5:E5)</f>
        <v>1</v>
      </c>
    </row>
    <row r="6" spans="2:6" x14ac:dyDescent="0.45">
      <c r="B6" s="52"/>
      <c r="C6" s="23" t="s">
        <v>29</v>
      </c>
      <c r="D6" s="30">
        <v>1</v>
      </c>
      <c r="E6" s="30"/>
      <c r="F6" s="18"/>
    </row>
    <row r="7" spans="2:6" x14ac:dyDescent="0.45">
      <c r="B7" s="53"/>
      <c r="C7" s="23" t="s">
        <v>53</v>
      </c>
      <c r="D7" s="31">
        <f>Assets!$E$7*(D5)*D6</f>
        <v>13622532</v>
      </c>
      <c r="E7" s="31">
        <f>Assets!$E$5*(E5)*E6</f>
        <v>0</v>
      </c>
      <c r="F7" s="35">
        <f>SUM(A7:D7)</f>
        <v>13622532</v>
      </c>
    </row>
    <row r="8" spans="2:6" x14ac:dyDescent="0.45">
      <c r="B8" s="55" t="s">
        <v>31</v>
      </c>
      <c r="C8" s="33" t="s">
        <v>32</v>
      </c>
      <c r="D8" s="34">
        <v>1771</v>
      </c>
      <c r="E8" s="34"/>
      <c r="F8" s="8"/>
    </row>
    <row r="9" spans="2:6" x14ac:dyDescent="0.45">
      <c r="B9" s="52"/>
      <c r="C9" s="33" t="s">
        <v>33</v>
      </c>
      <c r="D9" s="34">
        <v>7687</v>
      </c>
      <c r="E9" s="34"/>
      <c r="F9" s="8"/>
    </row>
    <row r="10" spans="2:6" x14ac:dyDescent="0.45">
      <c r="B10" s="52"/>
      <c r="C10" s="6" t="s">
        <v>4</v>
      </c>
      <c r="D10" s="31">
        <f>D9*D8</f>
        <v>13613677</v>
      </c>
      <c r="E10" s="31">
        <f>E9*E8</f>
        <v>0</v>
      </c>
      <c r="F10" s="35">
        <f>SUM(A10:D10)</f>
        <v>13613677</v>
      </c>
    </row>
    <row r="11" spans="2:6" x14ac:dyDescent="0.45">
      <c r="B11" s="53"/>
      <c r="C11" s="23" t="s">
        <v>34</v>
      </c>
      <c r="D11" s="36">
        <f>IFERROR(D10/$F$10, 0)</f>
        <v>1</v>
      </c>
      <c r="E11" s="36">
        <f>IFERROR(E10/$F$10, 0)</f>
        <v>0</v>
      </c>
      <c r="F11" s="37">
        <f>SUM(A11:D11)</f>
        <v>1</v>
      </c>
    </row>
    <row r="12" spans="2:6" x14ac:dyDescent="0.45">
      <c r="B12" s="57" t="s">
        <v>35</v>
      </c>
      <c r="C12" s="23" t="s">
        <v>36</v>
      </c>
      <c r="D12" s="38">
        <v>7805</v>
      </c>
      <c r="E12" s="47"/>
      <c r="F12" s="23"/>
    </row>
    <row r="13" spans="2:6" x14ac:dyDescent="0.45">
      <c r="B13" s="58"/>
      <c r="C13" s="6" t="s">
        <v>37</v>
      </c>
      <c r="D13" s="9">
        <f>IF(D9&gt;0, (D12-D9)/D9, 0)</f>
        <v>1.5350591908416807E-2</v>
      </c>
      <c r="E13" s="9">
        <f>IF(E9&gt;0, (E12-E9)/E9, 0)</f>
        <v>0</v>
      </c>
      <c r="F13" s="9">
        <f>IFERROR(F14/F10, 0)</f>
        <v>1.5350591908416807E-2</v>
      </c>
    </row>
    <row r="14" spans="2:6" x14ac:dyDescent="0.45">
      <c r="B14" s="58"/>
      <c r="C14" s="23" t="s">
        <v>38</v>
      </c>
      <c r="D14" s="40">
        <f>D10*D13</f>
        <v>208978</v>
      </c>
      <c r="E14" s="40">
        <f>E10*E13</f>
        <v>0</v>
      </c>
      <c r="F14" s="40">
        <f>SUM(A14:D14)</f>
        <v>208978</v>
      </c>
    </row>
    <row r="15" spans="2:6" x14ac:dyDescent="0.45">
      <c r="B15" s="58"/>
      <c r="C15" s="23" t="s">
        <v>54</v>
      </c>
      <c r="D15" s="24">
        <f>D7-D10</f>
        <v>8855</v>
      </c>
      <c r="E15" s="24">
        <f>E7-E10</f>
        <v>0</v>
      </c>
      <c r="F15" s="24">
        <f>SUM(A15:D15)</f>
        <v>8855</v>
      </c>
    </row>
    <row r="16" spans="2:6" x14ac:dyDescent="0.45">
      <c r="B16" s="58"/>
      <c r="C16" s="23" t="s">
        <v>39</v>
      </c>
      <c r="D16" s="40">
        <f>IFERROR((D7-D10)/D12, 0)</f>
        <v>1.1345291479820627</v>
      </c>
      <c r="E16" s="40">
        <f>IFERROR((E7-E10)/E12, 0)</f>
        <v>0</v>
      </c>
      <c r="F16" s="40">
        <f>IFERROR((F7-F10)/F12, 0)</f>
        <v>0</v>
      </c>
    </row>
    <row r="17" spans="2:6" s="21" customFormat="1" x14ac:dyDescent="0.45">
      <c r="B17" s="58"/>
      <c r="C17" s="23" t="s">
        <v>40</v>
      </c>
      <c r="D17" s="34">
        <v>1</v>
      </c>
      <c r="E17" s="34">
        <v>1</v>
      </c>
      <c r="F17" s="40"/>
    </row>
    <row r="18" spans="2:6" s="21" customFormat="1" x14ac:dyDescent="0.45">
      <c r="B18" s="58"/>
      <c r="C18" s="14">
        <v>0.4</v>
      </c>
      <c r="D18" s="24">
        <f>IF(D$17=1, D$16*Assets!$K5, -D$8*Assets!$K5)</f>
        <v>0.45381165919282512</v>
      </c>
      <c r="E18" s="24">
        <f>IF(E$17=1, E$16*Assets!$K5, -E$8*Assets!$K5)</f>
        <v>0</v>
      </c>
      <c r="F18" s="40"/>
    </row>
    <row r="19" spans="2:6" s="21" customFormat="1" x14ac:dyDescent="0.45">
      <c r="B19" s="58"/>
      <c r="C19" s="14">
        <v>0.3</v>
      </c>
      <c r="D19" s="24">
        <f>IF(D$17=1, D$16*Assets!$K6, -D$8*Assets!$K6)</f>
        <v>0.34035874439461883</v>
      </c>
      <c r="E19" s="24">
        <f>IF(E$17=1, E$16*Assets!$K6, -E$8*Assets!$K6)</f>
        <v>0</v>
      </c>
      <c r="F19" s="40"/>
    </row>
    <row r="20" spans="2:6" s="21" customFormat="1" x14ac:dyDescent="0.45">
      <c r="B20" s="58"/>
      <c r="C20" s="14">
        <v>0.2</v>
      </c>
      <c r="D20" s="24">
        <f>IF(D$17=1, D$16*Assets!$K7, -D$8*Assets!$K7)</f>
        <v>0.22690582959641256</v>
      </c>
      <c r="E20" s="24">
        <f>IF(E$17=1, E$16*Assets!$K7, -E$8*Assets!$K7)</f>
        <v>0</v>
      </c>
      <c r="F20" s="40"/>
    </row>
    <row r="21" spans="2:6" s="21" customFormat="1" x14ac:dyDescent="0.45">
      <c r="B21" s="58"/>
      <c r="C21" s="14">
        <v>0.1</v>
      </c>
      <c r="D21" s="24">
        <f>IF(D$17=1, D$16*Assets!$K8, -D$8*Assets!$K8)</f>
        <v>0.11345291479820628</v>
      </c>
      <c r="E21" s="24">
        <f>IF(E$17=1, E$16*Assets!$K8, -E$8*Assets!$K8)</f>
        <v>0</v>
      </c>
      <c r="F21" s="40"/>
    </row>
    <row r="22" spans="2:6" s="21" customFormat="1" x14ac:dyDescent="0.45">
      <c r="C22" s="10"/>
      <c r="D22" s="41"/>
      <c r="E22" s="41"/>
      <c r="F22" s="41"/>
    </row>
    <row r="23" spans="2:6" x14ac:dyDescent="0.45">
      <c r="B23" s="54" t="s">
        <v>41</v>
      </c>
      <c r="C23" s="6" t="s">
        <v>42</v>
      </c>
      <c r="D23" s="31">
        <f>D8+D16</f>
        <v>1772.134529147982</v>
      </c>
      <c r="E23" s="31">
        <f>E8+E16</f>
        <v>0</v>
      </c>
      <c r="F23" s="51" t="s">
        <v>43</v>
      </c>
    </row>
    <row r="24" spans="2:6" x14ac:dyDescent="0.45">
      <c r="B24" s="52"/>
      <c r="C24" s="6" t="s">
        <v>44</v>
      </c>
      <c r="D24" s="42">
        <f>IF(D10&gt;0,(((D8*D9)+(D16*D12))/(D8+D16)),0)</f>
        <v>7687.0755441741358</v>
      </c>
      <c r="E24" s="42">
        <f>IF(E10&gt;0,(((E8*E9)+(E16*E12))/(E8+E16)),0)</f>
        <v>0</v>
      </c>
      <c r="F24" s="53"/>
    </row>
    <row r="25" spans="2:6" x14ac:dyDescent="0.45">
      <c r="B25" s="53"/>
      <c r="C25" s="23" t="s">
        <v>55</v>
      </c>
      <c r="D25" s="46">
        <f>D23*D24</f>
        <v>13622532</v>
      </c>
      <c r="E25" s="46">
        <f>E23*E24</f>
        <v>0</v>
      </c>
      <c r="F25" s="43">
        <f>SUM(A25:D25)</f>
        <v>13622532</v>
      </c>
    </row>
    <row r="27" spans="2:6" x14ac:dyDescent="0.45">
      <c r="B27" s="54" t="s">
        <v>45</v>
      </c>
      <c r="C27" s="23" t="s">
        <v>46</v>
      </c>
      <c r="D27" s="15">
        <v>46161</v>
      </c>
      <c r="E27" s="15"/>
      <c r="F27" s="19">
        <f>IFERROR(F28/F$10, 0)</f>
        <v>1.0033365710086995E-2</v>
      </c>
    </row>
    <row r="28" spans="2:6" x14ac:dyDescent="0.45">
      <c r="B28" s="53"/>
      <c r="C28" s="23" t="s">
        <v>47</v>
      </c>
      <c r="D28" s="24">
        <v>136591</v>
      </c>
      <c r="E28" s="24"/>
      <c r="F28" s="44">
        <f>SUM(D28:E28)</f>
        <v>136591</v>
      </c>
    </row>
  </sheetData>
  <mergeCells count="8">
    <mergeCell ref="B27:B28"/>
    <mergeCell ref="B23:B25"/>
    <mergeCell ref="B5:B7"/>
    <mergeCell ref="B8:B11"/>
    <mergeCell ref="F2:F4"/>
    <mergeCell ref="B12:B21"/>
    <mergeCell ref="F23:F24"/>
    <mergeCell ref="B2:B4"/>
  </mergeCells>
  <phoneticPr fontId="4" type="noConversion"/>
  <conditionalFormatting sqref="D17:D21">
    <cfRule type="expression" dxfId="12" priority="2">
      <formula>#REF!+#REF!&gt;0</formula>
    </cfRule>
  </conditionalFormatting>
  <conditionalFormatting sqref="D13:E13">
    <cfRule type="expression" dxfId="11" priority="16" stopIfTrue="1">
      <formula>D13&gt;0</formula>
    </cfRule>
  </conditionalFormatting>
  <conditionalFormatting sqref="D13:E14">
    <cfRule type="expression" dxfId="10" priority="13">
      <formula>D13&lt;0</formula>
    </cfRule>
  </conditionalFormatting>
  <conditionalFormatting sqref="D14:E14">
    <cfRule type="expression" dxfId="9" priority="14">
      <formula>D14&gt;0</formula>
    </cfRule>
  </conditionalFormatting>
  <conditionalFormatting sqref="D15:F15">
    <cfRule type="expression" dxfId="8" priority="10">
      <formula>#REF!+C15&gt;0</formula>
    </cfRule>
  </conditionalFormatting>
  <conditionalFormatting sqref="D16:F16 D22:F22">
    <cfRule type="expression" dxfId="7" priority="9">
      <formula>B16+#REF!&gt;0</formula>
    </cfRule>
  </conditionalFormatting>
  <conditionalFormatting sqref="E17">
    <cfRule type="expression" dxfId="6" priority="3">
      <formula>C17+#REF!&gt;0</formula>
    </cfRule>
  </conditionalFormatting>
  <conditionalFormatting sqref="E18:E21">
    <cfRule type="expression" dxfId="5" priority="1">
      <formula>#REF!+#REF!&gt;0</formula>
    </cfRule>
  </conditionalFormatting>
  <conditionalFormatting sqref="F13">
    <cfRule type="expression" dxfId="4" priority="5">
      <formula>F13&lt;0</formula>
    </cfRule>
    <cfRule type="expression" dxfId="3" priority="6" stopIfTrue="1">
      <formula>F13&gt;0</formula>
    </cfRule>
  </conditionalFormatting>
  <conditionalFormatting sqref="F14">
    <cfRule type="expression" dxfId="2" priority="7">
      <formula>E14&lt;0</formula>
    </cfRule>
    <cfRule type="expression" dxfId="1" priority="8">
      <formula>E14&gt;0</formula>
    </cfRule>
  </conditionalFormatting>
  <conditionalFormatting sqref="F17:F21">
    <cfRule type="expression" dxfId="0" priority="4">
      <formula>D17+#REF!&gt;0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Assets</vt:lpstr>
      <vt:lpstr>CMA</vt:lpstr>
      <vt:lpstr>개인연금</vt:lpstr>
      <vt:lpstr>퇴직연금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TAEHO HWANG</dc:creator>
  <cp:lastModifiedBy>TAEHO HWANG</cp:lastModifiedBy>
  <cp:revision>2</cp:revision>
  <cp:lastPrinted>2026-01-22T00:39:54Z</cp:lastPrinted>
  <dcterms:created xsi:type="dcterms:W3CDTF">2020-03-30T01:06:52Z</dcterms:created>
  <dcterms:modified xsi:type="dcterms:W3CDTF">2026-05-29T04:18:01Z</dcterms:modified>
  <cp:version>1300.0100.01</cp:version>
</cp:coreProperties>
</file>