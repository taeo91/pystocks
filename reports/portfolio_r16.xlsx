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aeoh\Downloads\"/>
    </mc:Choice>
  </mc:AlternateContent>
  <xr:revisionPtr revIDLastSave="0" documentId="13_ncr:1_{E07E2B92-9039-407F-AC29-D8DA5F9CECF6}" xr6:coauthVersionLast="47" xr6:coauthVersionMax="47" xr10:uidLastSave="{00000000-0000-0000-0000-000000000000}"/>
  <bookViews>
    <workbookView xWindow="38590" yWindow="1540" windowWidth="26190" windowHeight="20040" tabRatio="661" activeTab="2" xr2:uid="{00000000-000D-0000-FFFF-FFFF00000000}"/>
  </bookViews>
  <sheets>
    <sheet name="Assets" sheetId="1" r:id="rId1"/>
    <sheet name="CMA" sheetId="2" r:id="rId2"/>
    <sheet name="개인연금" sheetId="3" r:id="rId3"/>
    <sheet name="퇴직연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3" i="2" l="1"/>
  <c r="H10" i="2"/>
  <c r="D13" i="3"/>
  <c r="E13" i="3"/>
  <c r="F13" i="2"/>
  <c r="F10" i="2"/>
  <c r="E13" i="4"/>
  <c r="D13" i="4"/>
  <c r="F10" i="4"/>
  <c r="E10" i="4"/>
  <c r="E19" i="4" s="1"/>
  <c r="D10" i="4"/>
  <c r="D11" i="4" s="1"/>
  <c r="F11" i="4" s="1"/>
  <c r="F5" i="4"/>
  <c r="E10" i="3"/>
  <c r="D10" i="3"/>
  <c r="F10" i="3" s="1"/>
  <c r="F5" i="3"/>
  <c r="G13" i="2"/>
  <c r="E13" i="2"/>
  <c r="D13" i="2"/>
  <c r="D14" i="2" s="1"/>
  <c r="G10" i="2"/>
  <c r="I10" i="2" s="1"/>
  <c r="F11" i="2" s="1"/>
  <c r="E10" i="2"/>
  <c r="D10" i="2"/>
  <c r="I5" i="2"/>
  <c r="D10" i="1"/>
  <c r="D7" i="4" s="1"/>
  <c r="B10" i="1"/>
  <c r="F14" i="2" l="1"/>
  <c r="H11" i="2"/>
  <c r="H14" i="2"/>
  <c r="E14" i="3"/>
  <c r="D14" i="3"/>
  <c r="D11" i="2"/>
  <c r="F7" i="4"/>
  <c r="F16" i="4" s="1"/>
  <c r="D16" i="4"/>
  <c r="D18" i="4" s="1"/>
  <c r="D15" i="4"/>
  <c r="F15" i="4" s="1"/>
  <c r="E14" i="2"/>
  <c r="D11" i="3"/>
  <c r="F11" i="3" s="1"/>
  <c r="G11" i="2"/>
  <c r="E11" i="3"/>
  <c r="G14" i="2"/>
  <c r="D14" i="4"/>
  <c r="F14" i="4" s="1"/>
  <c r="F13" i="4" s="1"/>
  <c r="E11" i="4"/>
  <c r="E14" i="4"/>
  <c r="F14" i="3"/>
  <c r="E11" i="2"/>
  <c r="I11" i="2" l="1"/>
  <c r="I14" i="2"/>
  <c r="F7" i="1"/>
  <c r="F13" i="3"/>
  <c r="D19" i="4"/>
  <c r="D20" i="4" s="1"/>
  <c r="F20" i="4" s="1"/>
  <c r="I13" i="2" l="1"/>
  <c r="F4" i="1"/>
  <c r="B4" i="1" s="1"/>
  <c r="D4" i="1" s="1"/>
  <c r="E7" i="4" s="1"/>
  <c r="B7" i="1"/>
  <c r="F7" i="2" l="1"/>
  <c r="F16" i="2" s="1"/>
  <c r="F19" i="2" s="1"/>
  <c r="H7" i="2"/>
  <c r="D7" i="2"/>
  <c r="G7" i="2"/>
  <c r="F12" i="1"/>
  <c r="E7" i="2"/>
  <c r="E15" i="2" s="1"/>
  <c r="F25" i="2"/>
  <c r="G16" i="2"/>
  <c r="G15" i="2"/>
  <c r="D7" i="1"/>
  <c r="B12" i="1"/>
  <c r="D15" i="2"/>
  <c r="D16" i="2"/>
  <c r="E16" i="4"/>
  <c r="E18" i="4" s="1"/>
  <c r="E20" i="4" s="1"/>
  <c r="E15" i="4"/>
  <c r="E16" i="2" l="1"/>
  <c r="F21" i="2"/>
  <c r="H15" i="2"/>
  <c r="H16" i="2"/>
  <c r="I7" i="2"/>
  <c r="I16" i="2" s="1"/>
  <c r="F18" i="2"/>
  <c r="F20" i="2"/>
  <c r="F15" i="2"/>
  <c r="I15" i="2" s="1"/>
  <c r="F14" i="1"/>
  <c r="F24" i="2"/>
  <c r="F26" i="2" s="1"/>
  <c r="E21" i="2"/>
  <c r="E20" i="2"/>
  <c r="E24" i="2"/>
  <c r="E18" i="2"/>
  <c r="E19" i="2"/>
  <c r="E25" i="2"/>
  <c r="D24" i="2"/>
  <c r="D18" i="2"/>
  <c r="D20" i="2"/>
  <c r="D19" i="2"/>
  <c r="D21" i="2"/>
  <c r="D25" i="2"/>
  <c r="E7" i="3"/>
  <c r="D7" i="3"/>
  <c r="G21" i="2"/>
  <c r="G19" i="2"/>
  <c r="G20" i="2"/>
  <c r="G24" i="2"/>
  <c r="G18" i="2"/>
  <c r="G25" i="2"/>
  <c r="H24" i="2" l="1"/>
  <c r="H21" i="2"/>
  <c r="H20" i="2"/>
  <c r="H19" i="2"/>
  <c r="H18" i="2"/>
  <c r="H25" i="2"/>
  <c r="D16" i="3"/>
  <c r="D15" i="3"/>
  <c r="F15" i="3" s="1"/>
  <c r="E15" i="3"/>
  <c r="E16" i="3"/>
  <c r="D26" i="2"/>
  <c r="E26" i="2"/>
  <c r="G26" i="2"/>
  <c r="F7" i="3"/>
  <c r="F16" i="3" s="1"/>
  <c r="H26" i="2" l="1"/>
  <c r="E21" i="3"/>
  <c r="E20" i="3"/>
  <c r="E19" i="3"/>
  <c r="E18" i="3"/>
  <c r="D21" i="3"/>
  <c r="D20" i="3"/>
  <c r="D19" i="3"/>
  <c r="D18" i="3"/>
  <c r="I26" i="2"/>
  <c r="E23" i="3"/>
  <c r="E24" i="3"/>
  <c r="D23" i="3"/>
  <c r="D24" i="3"/>
  <c r="E25" i="3" l="1"/>
  <c r="D25" i="3"/>
  <c r="F25" i="3" s="1"/>
</calcChain>
</file>

<file path=xl/sharedStrings.xml><?xml version="1.0" encoding="utf-8"?>
<sst xmlns="http://schemas.openxmlformats.org/spreadsheetml/2006/main" count="111" uniqueCount="53">
  <si>
    <t>CMA</t>
  </si>
  <si>
    <t>현금보유비중</t>
  </si>
  <si>
    <t>투자가능금액</t>
  </si>
  <si>
    <t>순자산총액</t>
  </si>
  <si>
    <t>평가손익</t>
  </si>
  <si>
    <t>매매비율</t>
  </si>
  <si>
    <t>연금저축(신)</t>
  </si>
  <si>
    <t>투자금</t>
  </si>
  <si>
    <t>IRP</t>
  </si>
  <si>
    <t>총자산</t>
  </si>
  <si>
    <t>ITEMs</t>
  </si>
  <si>
    <t>#</t>
  </si>
  <si>
    <t>합계</t>
  </si>
  <si>
    <t>코드</t>
  </si>
  <si>
    <t>498400</t>
  </si>
  <si>
    <t>091160</t>
  </si>
  <si>
    <t>034220</t>
  </si>
  <si>
    <t>종목</t>
  </si>
  <si>
    <t>KODEX 200타겟위클리커버드콜</t>
  </si>
  <si>
    <t>KODEX 반도체</t>
  </si>
  <si>
    <t>LD디스플레이</t>
  </si>
  <si>
    <t>Plan</t>
  </si>
  <si>
    <t>투자비중</t>
  </si>
  <si>
    <t>매수목표</t>
  </si>
  <si>
    <t>투자한도</t>
  </si>
  <si>
    <t>Investment</t>
  </si>
  <si>
    <t>보유량</t>
  </si>
  <si>
    <t>평균단가</t>
  </si>
  <si>
    <t>비중</t>
  </si>
  <si>
    <t>매매</t>
  </si>
  <si>
    <t>현재가</t>
  </si>
  <si>
    <t>수익률</t>
  </si>
  <si>
    <t>수익</t>
  </si>
  <si>
    <t>추가매수</t>
  </si>
  <si>
    <t>LONG/SHORT</t>
  </si>
  <si>
    <t>목표</t>
  </si>
  <si>
    <t>목표수량</t>
  </si>
  <si>
    <t>투자금 목표</t>
  </si>
  <si>
    <t>목표평단가</t>
  </si>
  <si>
    <t>494300</t>
  </si>
  <si>
    <t>381180</t>
  </si>
  <si>
    <t>KODEX 미국나스닥100데일리커버드콜OTM</t>
  </si>
  <si>
    <t>TIGER 미국필라델피아반도체나스닥</t>
  </si>
  <si>
    <t>Plane</t>
  </si>
  <si>
    <t>매수한도</t>
  </si>
  <si>
    <t>목표투자금</t>
  </si>
  <si>
    <t>481060</t>
  </si>
  <si>
    <t>KODEX 미국30년국채타겟커버드콜</t>
  </si>
  <si>
    <t>2026.04.21</t>
    <phoneticPr fontId="4" type="noConversion"/>
  </si>
  <si>
    <t>015760</t>
    <phoneticPr fontId="4" type="noConversion"/>
  </si>
  <si>
    <t>한국전력</t>
    <phoneticPr fontId="4" type="noConversion"/>
  </si>
  <si>
    <t>HD현대</t>
    <phoneticPr fontId="4" type="noConversion"/>
  </si>
  <si>
    <t>267250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</si>
</sst>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11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1F4E79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0000FF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6">
    <xf numFmtId="0" fontId="0" fillId="0" borderId="0">
      <alignment vertical="center"/>
    </xf>
    <xf numFmtId="9" fontId="3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6" fillId="0" borderId="0"/>
  </cellStyleXfs>
  <cellXfs count="51"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9" fontId="0" fillId="0" borderId="1" xfId="0" applyNumberFormat="1" applyBorder="1" applyAlignment="1">
      <alignment vertical="center"/>
    </xf>
    <xf numFmtId="0" fontId="7" fillId="0" borderId="0" xfId="0" applyFont="1" applyAlignment="1"/>
    <xf numFmtId="0" fontId="3" fillId="0" borderId="0" xfId="0" applyFont="1" applyAlignment="1"/>
    <xf numFmtId="0" fontId="2" fillId="0" borderId="0" xfId="0" applyFont="1" applyAlignment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0" fontId="5" fillId="3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/>
    <xf numFmtId="49" fontId="3" fillId="2" borderId="1" xfId="5" applyNumberFormat="1" applyFont="1" applyFill="1" applyBorder="1" applyAlignment="1">
      <alignment horizontal="center"/>
    </xf>
    <xf numFmtId="49" fontId="0" fillId="2" borderId="1" xfId="5" applyNumberFormat="1" applyFont="1" applyFill="1" applyBorder="1" applyAlignment="1">
      <alignment horizontal="center"/>
    </xf>
    <xf numFmtId="0" fontId="3" fillId="0" borderId="1" xfId="0" applyFont="1" applyBorder="1" applyAlignment="1"/>
    <xf numFmtId="9" fontId="3" fillId="0" borderId="1" xfId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/>
    </xf>
    <xf numFmtId="41" fontId="3" fillId="0" borderId="1" xfId="2" applyBorder="1" applyAlignment="1">
      <alignment vertical="center"/>
    </xf>
    <xf numFmtId="41" fontId="3" fillId="2" borderId="1" xfId="2" applyFill="1" applyBorder="1" applyAlignment="1">
      <alignment vertical="center"/>
    </xf>
    <xf numFmtId="41" fontId="3" fillId="3" borderId="1" xfId="2" applyFill="1" applyBorder="1" applyAlignment="1">
      <alignment vertical="center"/>
    </xf>
    <xf numFmtId="41" fontId="0" fillId="0" borderId="0" xfId="0" applyNumberFormat="1" applyAlignment="1"/>
    <xf numFmtId="41" fontId="0" fillId="0" borderId="0" xfId="0" applyNumberFormat="1" applyAlignment="1">
      <alignment vertical="center"/>
    </xf>
    <xf numFmtId="176" fontId="2" fillId="2" borderId="1" xfId="1" applyNumberFormat="1" applyFont="1" applyFill="1" applyBorder="1" applyAlignment="1">
      <alignment vertical="center"/>
    </xf>
    <xf numFmtId="41" fontId="3" fillId="0" borderId="1" xfId="2" applyBorder="1" applyAlignment="1">
      <alignment horizontal="right" vertical="center"/>
    </xf>
    <xf numFmtId="41" fontId="3" fillId="0" borderId="1" xfId="0" applyNumberFormat="1" applyFont="1" applyBorder="1" applyAlignment="1">
      <alignment vertical="center"/>
    </xf>
    <xf numFmtId="41" fontId="0" fillId="0" borderId="1" xfId="2" applyFont="1" applyBorder="1" applyAlignment="1">
      <alignment horizontal="center" vertical="center"/>
    </xf>
    <xf numFmtId="41" fontId="2" fillId="2" borderId="1" xfId="2" applyFont="1" applyFill="1" applyBorder="1" applyAlignment="1">
      <alignment vertical="center"/>
    </xf>
    <xf numFmtId="41" fontId="2" fillId="0" borderId="1" xfId="0" applyNumberFormat="1" applyFont="1" applyBorder="1" applyAlignment="1">
      <alignment vertical="center"/>
    </xf>
    <xf numFmtId="176" fontId="3" fillId="0" borderId="1" xfId="1" applyNumberFormat="1" applyBorder="1" applyAlignment="1">
      <alignment vertical="center"/>
    </xf>
    <xf numFmtId="176" fontId="0" fillId="0" borderId="1" xfId="0" applyNumberFormat="1" applyBorder="1" applyAlignment="1">
      <alignment vertical="center"/>
    </xf>
    <xf numFmtId="41" fontId="10" fillId="2" borderId="1" xfId="2" applyFont="1" applyFill="1" applyBorder="1" applyAlignment="1">
      <alignment vertical="center"/>
    </xf>
    <xf numFmtId="41" fontId="2" fillId="0" borderId="1" xfId="2" applyFont="1" applyBorder="1" applyAlignment="1">
      <alignment vertical="center"/>
    </xf>
    <xf numFmtId="41" fontId="2" fillId="0" borderId="0" xfId="2" applyFont="1" applyAlignment="1">
      <alignment vertical="center"/>
    </xf>
    <xf numFmtId="41" fontId="3" fillId="0" borderId="1" xfId="2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41" fontId="3" fillId="0" borderId="0" xfId="2" applyAlignment="1">
      <alignment vertical="center"/>
    </xf>
    <xf numFmtId="41" fontId="0" fillId="0" borderId="1" xfId="2" applyFont="1" applyBorder="1" applyAlignment="1">
      <alignment vertical="center"/>
    </xf>
    <xf numFmtId="41" fontId="9" fillId="2" borderId="1" xfId="2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8" fillId="4" borderId="1" xfId="0" applyFont="1" applyFill="1" applyBorder="1" applyAlignment="1">
      <alignment horizontal="center" vertical="center"/>
    </xf>
    <xf numFmtId="41" fontId="8" fillId="4" borderId="4" xfId="2" applyFont="1" applyFill="1" applyBorder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41" fontId="8" fillId="4" borderId="1" xfId="2" applyFont="1" applyFill="1" applyBorder="1" applyAlignment="1">
      <alignment horizontal="center" vertical="center"/>
    </xf>
    <xf numFmtId="41" fontId="8" fillId="4" borderId="5" xfId="2" applyFont="1" applyFill="1" applyBorder="1" applyAlignment="1">
      <alignment horizontal="center" vertical="center"/>
    </xf>
    <xf numFmtId="41" fontId="8" fillId="4" borderId="6" xfId="2" applyFont="1" applyFill="1" applyBorder="1" applyAlignment="1">
      <alignment horizontal="center" vertical="center"/>
    </xf>
  </cellXfs>
  <cellStyles count="6">
    <cellStyle name="Normal" xfId="5" xr:uid="{00000000-0005-0000-0000-000005000000}"/>
    <cellStyle name="백분율" xfId="1" builtinId="5"/>
    <cellStyle name="쉼표 [0]" xfId="2" builtinId="6"/>
    <cellStyle name="쉼표 [0] 2" xfId="4" xr:uid="{00000000-0005-0000-0000-000004000000}"/>
    <cellStyle name="표준" xfId="0" builtinId="0"/>
    <cellStyle name="표준 2" xfId="3" xr:uid="{00000000-0005-0000-0000-000003000000}"/>
  </cellStyles>
  <dxfs count="30"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b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b/>
        <color auto="1"/>
      </font>
    </dxf>
    <dxf>
      <font>
        <b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workbookViewId="0">
      <selection activeCell="B26" sqref="B25:D26"/>
    </sheetView>
  </sheetViews>
  <sheetFormatPr defaultRowHeight="17" x14ac:dyDescent="0.45"/>
  <cols>
    <col min="2" max="6" width="14.25" style="13" bestFit="1" customWidth="1"/>
    <col min="7" max="7" width="3" style="13" customWidth="1"/>
    <col min="8" max="8" width="14.25" style="13" bestFit="1" customWidth="1"/>
  </cols>
  <sheetData>
    <row r="1" spans="1:8" s="1" customFormat="1" x14ac:dyDescent="0.45"/>
    <row r="2" spans="1:8" x14ac:dyDescent="0.45">
      <c r="B2" s="5" t="s">
        <v>48</v>
      </c>
    </row>
    <row r="3" spans="1:8" x14ac:dyDescent="0.45">
      <c r="B3" s="6" t="s">
        <v>0</v>
      </c>
      <c r="C3" s="6" t="s">
        <v>1</v>
      </c>
      <c r="D3" s="7" t="s">
        <v>2</v>
      </c>
      <c r="E3" s="7" t="s">
        <v>3</v>
      </c>
      <c r="F3" s="7" t="s">
        <v>4</v>
      </c>
      <c r="H3" s="16" t="s">
        <v>5</v>
      </c>
    </row>
    <row r="4" spans="1:8" x14ac:dyDescent="0.45">
      <c r="B4" s="20">
        <f>E4-F4</f>
        <v>1178893252</v>
      </c>
      <c r="C4" s="2">
        <v>0.2</v>
      </c>
      <c r="D4" s="20">
        <f>B4*(1-C4)</f>
        <v>943114601.60000002</v>
      </c>
      <c r="E4" s="21">
        <v>1190648814</v>
      </c>
      <c r="F4" s="22">
        <f>CMA!I14</f>
        <v>11755562</v>
      </c>
      <c r="H4" s="17">
        <v>0.4</v>
      </c>
    </row>
    <row r="5" spans="1:8" x14ac:dyDescent="0.45">
      <c r="H5" s="17">
        <v>0.3</v>
      </c>
    </row>
    <row r="6" spans="1:8" x14ac:dyDescent="0.45">
      <c r="B6" s="6" t="s">
        <v>6</v>
      </c>
      <c r="C6" s="6" t="s">
        <v>1</v>
      </c>
      <c r="D6" s="7" t="s">
        <v>7</v>
      </c>
      <c r="E6" s="7" t="s">
        <v>3</v>
      </c>
      <c r="F6" s="7" t="s">
        <v>4</v>
      </c>
      <c r="H6" s="17">
        <v>0.2</v>
      </c>
    </row>
    <row r="7" spans="1:8" x14ac:dyDescent="0.45">
      <c r="B7" s="20">
        <f>E7-F7</f>
        <v>116468173</v>
      </c>
      <c r="C7" s="2">
        <v>0</v>
      </c>
      <c r="D7" s="20">
        <f>B7*(1-C7)</f>
        <v>116468173</v>
      </c>
      <c r="E7" s="21">
        <v>120874925</v>
      </c>
      <c r="F7" s="22">
        <f>개인연금!F14</f>
        <v>4406752</v>
      </c>
      <c r="H7" s="17">
        <v>0.1</v>
      </c>
    </row>
    <row r="9" spans="1:8" x14ac:dyDescent="0.45">
      <c r="A9" s="3"/>
      <c r="B9" s="6" t="s">
        <v>8</v>
      </c>
      <c r="C9" s="6" t="s">
        <v>1</v>
      </c>
      <c r="D9" s="7" t="s">
        <v>7</v>
      </c>
      <c r="E9" s="7" t="s">
        <v>3</v>
      </c>
      <c r="F9" s="7" t="s">
        <v>4</v>
      </c>
    </row>
    <row r="10" spans="1:8" x14ac:dyDescent="0.45">
      <c r="B10" s="20">
        <f>E10-F10</f>
        <v>13756880</v>
      </c>
      <c r="C10" s="2">
        <v>0</v>
      </c>
      <c r="D10" s="20">
        <f>B10*(1-C10)</f>
        <v>13756880</v>
      </c>
      <c r="E10" s="21">
        <v>13756880</v>
      </c>
      <c r="F10" s="22">
        <v>0</v>
      </c>
    </row>
    <row r="12" spans="1:8" x14ac:dyDescent="0.45">
      <c r="B12" s="23">
        <f>SUM(B10,B7,B4)</f>
        <v>1309118305</v>
      </c>
      <c r="F12" s="23">
        <f>SUM(F10,F7,F4)</f>
        <v>16162314</v>
      </c>
    </row>
    <row r="14" spans="1:8" x14ac:dyDescent="0.45">
      <c r="E14" s="4" t="s">
        <v>9</v>
      </c>
      <c r="F14" s="24">
        <f>SUM(B12,F12)</f>
        <v>1325280619</v>
      </c>
    </row>
  </sheetData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workbookViewId="0">
      <selection activeCell="G33" sqref="G33"/>
    </sheetView>
  </sheetViews>
  <sheetFormatPr defaultRowHeight="17" x14ac:dyDescent="0.45"/>
  <cols>
    <col min="1" max="1" width="3.33203125" style="13" customWidth="1"/>
    <col min="2" max="2" width="11" style="13" bestFit="1" customWidth="1"/>
    <col min="3" max="3" width="13" style="13" bestFit="1" customWidth="1"/>
    <col min="4" max="4" width="28.9140625" style="13" customWidth="1"/>
    <col min="5" max="5" width="24.4140625" style="13" customWidth="1"/>
    <col min="6" max="7" width="21.5" style="13" customWidth="1"/>
    <col min="8" max="8" width="20.83203125" style="13" customWidth="1"/>
    <col min="9" max="9" width="13.83203125" style="13" bestFit="1" customWidth="1"/>
  </cols>
  <sheetData>
    <row r="1" spans="2:9" ht="17.5" customHeight="1" x14ac:dyDescent="0.45"/>
    <row r="2" spans="2:9" x14ac:dyDescent="0.45">
      <c r="B2" s="44" t="s">
        <v>10</v>
      </c>
      <c r="C2" s="8" t="s">
        <v>11</v>
      </c>
      <c r="D2" s="7">
        <v>1</v>
      </c>
      <c r="E2" s="7">
        <v>2</v>
      </c>
      <c r="F2" s="7">
        <v>3</v>
      </c>
      <c r="G2" s="7">
        <v>4</v>
      </c>
      <c r="H2" s="7">
        <v>5</v>
      </c>
      <c r="I2" s="41" t="s">
        <v>12</v>
      </c>
    </row>
    <row r="3" spans="2:9" x14ac:dyDescent="0.45">
      <c r="B3" s="42"/>
      <c r="C3" s="8" t="s">
        <v>13</v>
      </c>
      <c r="D3" s="14" t="s">
        <v>14</v>
      </c>
      <c r="E3" s="15" t="s">
        <v>15</v>
      </c>
      <c r="F3" s="14" t="s">
        <v>52</v>
      </c>
      <c r="G3" s="14" t="s">
        <v>49</v>
      </c>
      <c r="H3" s="14" t="s">
        <v>16</v>
      </c>
      <c r="I3" s="42"/>
    </row>
    <row r="4" spans="2:9" ht="17.5" customHeight="1" x14ac:dyDescent="0.45">
      <c r="B4" s="43"/>
      <c r="C4" s="8" t="s">
        <v>17</v>
      </c>
      <c r="D4" s="9" t="s">
        <v>18</v>
      </c>
      <c r="E4" s="9" t="s">
        <v>19</v>
      </c>
      <c r="F4" s="9" t="s">
        <v>51</v>
      </c>
      <c r="G4" s="9" t="s">
        <v>50</v>
      </c>
      <c r="H4" s="9" t="s">
        <v>20</v>
      </c>
      <c r="I4" s="43"/>
    </row>
    <row r="5" spans="2:9" x14ac:dyDescent="0.45">
      <c r="B5" s="44" t="s">
        <v>21</v>
      </c>
      <c r="C5" s="18" t="s">
        <v>22</v>
      </c>
      <c r="D5" s="25">
        <v>0.35</v>
      </c>
      <c r="E5" s="25">
        <v>0.35</v>
      </c>
      <c r="F5" s="25">
        <v>0.1</v>
      </c>
      <c r="G5" s="25">
        <v>0.1</v>
      </c>
      <c r="H5" s="25">
        <v>0.1</v>
      </c>
      <c r="I5" s="17">
        <f>SUM(D5:H5)</f>
        <v>0.99999999999999989</v>
      </c>
    </row>
    <row r="6" spans="2:9" ht="17.5" customHeight="1" x14ac:dyDescent="0.45">
      <c r="B6" s="42"/>
      <c r="C6" s="18" t="s">
        <v>23</v>
      </c>
      <c r="D6" s="25">
        <v>0.4</v>
      </c>
      <c r="E6" s="25">
        <v>0.4</v>
      </c>
      <c r="F6" s="25">
        <v>0.4</v>
      </c>
      <c r="G6" s="25">
        <v>0.4</v>
      </c>
      <c r="H6" s="25">
        <v>0.4</v>
      </c>
      <c r="I6" s="17"/>
    </row>
    <row r="7" spans="2:9" ht="17.5" customHeight="1" x14ac:dyDescent="0.45">
      <c r="B7" s="43"/>
      <c r="C7" s="18" t="s">
        <v>24</v>
      </c>
      <c r="D7" s="26">
        <f>Assets!$D$4*(D5)*D6</f>
        <v>132036044.22400001</v>
      </c>
      <c r="E7" s="26">
        <f>Assets!$D$4*(E5)*E6</f>
        <v>132036044.22400001</v>
      </c>
      <c r="F7" s="26">
        <f>Assets!$D$4*(F5)*F6</f>
        <v>37724584.064000003</v>
      </c>
      <c r="G7" s="26">
        <f>Assets!$D$4*(G5)*G6</f>
        <v>37724584.064000003</v>
      </c>
      <c r="H7" s="26">
        <f>Assets!$D$4*(H5)*H6</f>
        <v>37724584.064000003</v>
      </c>
      <c r="I7" s="27">
        <f>SUM(D7:G7)</f>
        <v>339521256.57600003</v>
      </c>
    </row>
    <row r="8" spans="2:9" s="1" customFormat="1" ht="17.5" customHeight="1" x14ac:dyDescent="0.45">
      <c r="B8" s="44" t="s">
        <v>25</v>
      </c>
      <c r="C8" s="28" t="s">
        <v>26</v>
      </c>
      <c r="D8" s="29">
        <v>4688</v>
      </c>
      <c r="E8" s="29">
        <v>922</v>
      </c>
      <c r="F8" s="29"/>
      <c r="G8" s="29"/>
      <c r="H8" s="29">
        <v>970</v>
      </c>
      <c r="I8" s="10"/>
    </row>
    <row r="9" spans="2:9" s="1" customFormat="1" ht="17.5" customHeight="1" x14ac:dyDescent="0.45">
      <c r="B9" s="42"/>
      <c r="C9" s="28" t="s">
        <v>27</v>
      </c>
      <c r="D9" s="29">
        <v>18489</v>
      </c>
      <c r="E9" s="29">
        <v>107043</v>
      </c>
      <c r="F9" s="29"/>
      <c r="G9" s="29"/>
      <c r="H9" s="29">
        <v>13580</v>
      </c>
      <c r="I9" s="10"/>
    </row>
    <row r="10" spans="2:9" ht="17.5" customHeight="1" x14ac:dyDescent="0.45">
      <c r="B10" s="42"/>
      <c r="C10" s="8" t="s">
        <v>7</v>
      </c>
      <c r="D10" s="26">
        <f>D9*D8</f>
        <v>86676432</v>
      </c>
      <c r="E10" s="26">
        <f>E9*E8</f>
        <v>98693646</v>
      </c>
      <c r="F10" s="26">
        <f>F9*F8</f>
        <v>0</v>
      </c>
      <c r="G10" s="26">
        <f>G9*G8</f>
        <v>0</v>
      </c>
      <c r="H10" s="26">
        <f>H9*H8</f>
        <v>13172600</v>
      </c>
      <c r="I10" s="30">
        <f>SUM(D10:G10)</f>
        <v>185370078</v>
      </c>
    </row>
    <row r="11" spans="2:9" ht="17.5" customHeight="1" x14ac:dyDescent="0.45">
      <c r="B11" s="43"/>
      <c r="C11" s="18" t="s">
        <v>28</v>
      </c>
      <c r="D11" s="31">
        <f>D10/$I$10</f>
        <v>0.46758588513945598</v>
      </c>
      <c r="E11" s="31">
        <f>E10/$I$10</f>
        <v>0.53241411486054402</v>
      </c>
      <c r="F11" s="31">
        <f>F10/$I$10</f>
        <v>0</v>
      </c>
      <c r="G11" s="31">
        <f>G10/$I$10</f>
        <v>0</v>
      </c>
      <c r="H11" s="31">
        <f>H10/$I$10</f>
        <v>7.1061091100150478E-2</v>
      </c>
      <c r="I11" s="32">
        <f>SUM(D11:G11)</f>
        <v>1</v>
      </c>
    </row>
    <row r="12" spans="2:9" x14ac:dyDescent="0.45">
      <c r="B12" s="45" t="s">
        <v>29</v>
      </c>
      <c r="C12" s="18" t="s">
        <v>30</v>
      </c>
      <c r="D12" s="33">
        <v>19530</v>
      </c>
      <c r="E12" s="33">
        <v>114500</v>
      </c>
      <c r="F12" s="33">
        <v>250500</v>
      </c>
      <c r="G12" s="33">
        <v>46100</v>
      </c>
      <c r="H12" s="33">
        <v>14760</v>
      </c>
      <c r="I12" s="18"/>
    </row>
    <row r="13" spans="2:9" x14ac:dyDescent="0.45">
      <c r="B13" s="46"/>
      <c r="C13" s="8" t="s">
        <v>31</v>
      </c>
      <c r="D13" s="11">
        <f>IF(D9&gt;0, (D12-D9)/D9, 0)</f>
        <v>5.6303748174590294E-2</v>
      </c>
      <c r="E13" s="11">
        <f>IF(E9&gt;0, (E12-E9)/E9, 0)</f>
        <v>6.9663593135468924E-2</v>
      </c>
      <c r="F13" s="11">
        <f>IF(F9&gt;0, (F12-F9)/F9, 0)</f>
        <v>0</v>
      </c>
      <c r="G13" s="11">
        <f>IF(G9&gt;0, (G12-G9)/G9, 0)</f>
        <v>0</v>
      </c>
      <c r="H13" s="11">
        <f>IF(H9&gt;0, (H12-H9)/H9, 0)</f>
        <v>8.6892488954344621E-2</v>
      </c>
      <c r="I13" s="11">
        <f>I14/I10</f>
        <v>6.3416718204110586E-2</v>
      </c>
    </row>
    <row r="14" spans="2:9" x14ac:dyDescent="0.45">
      <c r="B14" s="46"/>
      <c r="C14" s="18" t="s">
        <v>32</v>
      </c>
      <c r="D14" s="34">
        <f>D10*D13</f>
        <v>4880208</v>
      </c>
      <c r="E14" s="34">
        <f>E10*E13</f>
        <v>6875354</v>
      </c>
      <c r="F14" s="34">
        <f>F10*F13</f>
        <v>0</v>
      </c>
      <c r="G14" s="34">
        <f>G10*G13</f>
        <v>0</v>
      </c>
      <c r="H14" s="34">
        <f>H10*H13</f>
        <v>1144600</v>
      </c>
      <c r="I14" s="34">
        <f>SUM(D14:G14)</f>
        <v>11755562</v>
      </c>
    </row>
    <row r="15" spans="2:9" x14ac:dyDescent="0.45">
      <c r="B15" s="46"/>
      <c r="C15" s="18" t="s">
        <v>29</v>
      </c>
      <c r="D15" s="34">
        <f>D7-D10</f>
        <v>45359612.224000007</v>
      </c>
      <c r="E15" s="34">
        <f>E7-E10</f>
        <v>33342398.224000007</v>
      </c>
      <c r="F15" s="34">
        <f>F7-F10</f>
        <v>37724584.064000003</v>
      </c>
      <c r="G15" s="34">
        <f>G7-G10</f>
        <v>37724584.064000003</v>
      </c>
      <c r="H15" s="34">
        <f>H7-H10</f>
        <v>24551984.064000003</v>
      </c>
      <c r="I15" s="20">
        <f>SUM(D15:G15)</f>
        <v>154151178.57600003</v>
      </c>
    </row>
    <row r="16" spans="2:9" ht="17.5" customHeight="1" x14ac:dyDescent="0.45">
      <c r="B16" s="46"/>
      <c r="C16" s="18" t="s">
        <v>33</v>
      </c>
      <c r="D16" s="20">
        <f t="shared" ref="D16:I16" si="0">IFERROR((D7-D10)/D12, 0)</f>
        <v>2322.560789759345</v>
      </c>
      <c r="E16" s="20">
        <f t="shared" si="0"/>
        <v>291.19998448908302</v>
      </c>
      <c r="F16" s="20">
        <f t="shared" ref="F16:H16" si="1">IFERROR((F7-F10)/F12, 0)</f>
        <v>150.59714197205591</v>
      </c>
      <c r="G16" s="20">
        <f t="shared" si="0"/>
        <v>818.32069553145345</v>
      </c>
      <c r="H16" s="20">
        <f t="shared" si="1"/>
        <v>1663.413554471545</v>
      </c>
      <c r="I16" s="34">
        <f t="shared" si="0"/>
        <v>0</v>
      </c>
    </row>
    <row r="17" spans="2:9" s="1" customFormat="1" ht="17.5" customHeight="1" x14ac:dyDescent="0.45">
      <c r="B17" s="47"/>
      <c r="C17" s="18" t="s">
        <v>34</v>
      </c>
      <c r="D17" s="29">
        <v>1</v>
      </c>
      <c r="E17" s="29">
        <v>1</v>
      </c>
      <c r="F17" s="29">
        <v>1</v>
      </c>
      <c r="G17" s="29">
        <v>1</v>
      </c>
      <c r="H17" s="29">
        <v>1</v>
      </c>
      <c r="I17" s="34"/>
    </row>
    <row r="18" spans="2:9" s="1" customFormat="1" ht="17.5" customHeight="1" x14ac:dyDescent="0.45">
      <c r="B18" s="47"/>
      <c r="C18" s="19">
        <v>0.4</v>
      </c>
      <c r="D18" s="20">
        <f>IF(D$17=1, D$16*Assets!$H4, -D$8*Assets!$H4)</f>
        <v>929.02431590373806</v>
      </c>
      <c r="E18" s="20">
        <f>IF(E$17=1, E$16*Assets!$H4, -E$8*Assets!$H4)</f>
        <v>116.47999379563322</v>
      </c>
      <c r="F18" s="20">
        <f>IF(F$17=1, F$16*Assets!$H4, -F$8*Assets!$H4)</f>
        <v>60.238856788822368</v>
      </c>
      <c r="G18" s="20">
        <f>IF(G$17=1, G$16*Assets!$H4, -G$8*Assets!$H4)</f>
        <v>327.32827821258138</v>
      </c>
      <c r="H18" s="20">
        <f>IF(H$17=1, H$16*Assets!$H4, -H$8*Assets!$H4)</f>
        <v>665.36542178861805</v>
      </c>
      <c r="I18" s="34"/>
    </row>
    <row r="19" spans="2:9" s="1" customFormat="1" ht="17.5" customHeight="1" x14ac:dyDescent="0.45">
      <c r="B19" s="47"/>
      <c r="C19" s="19">
        <v>0.3</v>
      </c>
      <c r="D19" s="20">
        <f>IF(D$17=1, D$16*Assets!$H5, -D$8*Assets!$H5)</f>
        <v>696.76823692780351</v>
      </c>
      <c r="E19" s="20">
        <f>IF(E$17=1, E$16*Assets!$H5, -E$8*Assets!$H5)</f>
        <v>87.359995346724901</v>
      </c>
      <c r="F19" s="20">
        <f>IF(F$17=1, F$16*Assets!$H5, -F$8*Assets!$H5)</f>
        <v>45.179142591616774</v>
      </c>
      <c r="G19" s="20">
        <f>IF(G$17=1, G$16*Assets!$H5, -G$8*Assets!$H5)</f>
        <v>245.49620865943604</v>
      </c>
      <c r="H19" s="20">
        <f>IF(H$17=1, H$16*Assets!$H5, -H$8*Assets!$H5)</f>
        <v>499.02406634146348</v>
      </c>
      <c r="I19" s="34"/>
    </row>
    <row r="20" spans="2:9" s="1" customFormat="1" ht="17.5" customHeight="1" x14ac:dyDescent="0.45">
      <c r="B20" s="47"/>
      <c r="C20" s="19">
        <v>0.2</v>
      </c>
      <c r="D20" s="20">
        <f>IF(D$17=1, D$16*Assets!$H6, -D$8*Assets!$H6)</f>
        <v>464.51215795186903</v>
      </c>
      <c r="E20" s="20">
        <f>IF(E$17=1, E$16*Assets!$H6, -E$8*Assets!$H6)</f>
        <v>58.23999689781661</v>
      </c>
      <c r="F20" s="20">
        <f>IF(F$17=1, F$16*Assets!$H6, -F$8*Assets!$H6)</f>
        <v>30.119428394411184</v>
      </c>
      <c r="G20" s="20">
        <f>IF(G$17=1, G$16*Assets!$H6, -G$8*Assets!$H6)</f>
        <v>163.66413910629069</v>
      </c>
      <c r="H20" s="20">
        <f>IF(H$17=1, H$16*Assets!$H6, -H$8*Assets!$H6)</f>
        <v>332.68271089430903</v>
      </c>
      <c r="I20" s="34"/>
    </row>
    <row r="21" spans="2:9" s="1" customFormat="1" ht="17.5" customHeight="1" x14ac:dyDescent="0.45">
      <c r="B21" s="47"/>
      <c r="C21" s="19">
        <v>0.1</v>
      </c>
      <c r="D21" s="20">
        <f>IF(D$17=1, D$16*Assets!$H7, -D$8*Assets!$H7)</f>
        <v>232.25607897593451</v>
      </c>
      <c r="E21" s="20">
        <f>IF(E$17=1, E$16*Assets!$H7, -E$8*Assets!$H7)</f>
        <v>29.119998448908305</v>
      </c>
      <c r="F21" s="20">
        <f>IF(F$17=1, F$16*Assets!$H7, -F$8*Assets!$H7)</f>
        <v>15.059714197205592</v>
      </c>
      <c r="G21" s="20">
        <f>IF(G$17=1, G$16*Assets!$H7, -G$8*Assets!$H7)</f>
        <v>81.832069553145345</v>
      </c>
      <c r="H21" s="20">
        <f>IF(H$17=1, H$16*Assets!$H7, -H$8*Assets!$H7)</f>
        <v>166.34135544715451</v>
      </c>
      <c r="I21" s="34"/>
    </row>
    <row r="22" spans="2:9" s="1" customFormat="1" ht="17.5" customHeight="1" x14ac:dyDescent="0.45">
      <c r="C22" s="12"/>
      <c r="D22" s="35"/>
      <c r="E22" s="35"/>
      <c r="F22" s="35"/>
      <c r="G22" s="35"/>
      <c r="H22" s="35"/>
      <c r="I22" s="35"/>
    </row>
    <row r="23" spans="2:9" s="1" customFormat="1" ht="17.5" customHeight="1" x14ac:dyDescent="0.45">
      <c r="C23" s="12"/>
      <c r="D23" s="35"/>
      <c r="E23" s="35"/>
      <c r="F23" s="35"/>
      <c r="G23" s="35"/>
      <c r="H23" s="35"/>
      <c r="I23" s="35"/>
    </row>
    <row r="24" spans="2:9" x14ac:dyDescent="0.45">
      <c r="B24" s="48" t="s">
        <v>35</v>
      </c>
      <c r="C24" s="8" t="s">
        <v>36</v>
      </c>
      <c r="D24" s="26">
        <f>D8+D16</f>
        <v>7010.5607897593454</v>
      </c>
      <c r="E24" s="26">
        <f>E8+E16</f>
        <v>1213.1999844890829</v>
      </c>
      <c r="F24" s="26">
        <f>F8+F16</f>
        <v>150.59714197205591</v>
      </c>
      <c r="G24" s="26">
        <f>G8+G16</f>
        <v>818.32069553145345</v>
      </c>
      <c r="H24" s="26">
        <f>H8+H16</f>
        <v>2633.413554471545</v>
      </c>
      <c r="I24" s="41" t="s">
        <v>37</v>
      </c>
    </row>
    <row r="25" spans="2:9" x14ac:dyDescent="0.45">
      <c r="B25" s="42"/>
      <c r="C25" s="8" t="s">
        <v>38</v>
      </c>
      <c r="D25" s="36">
        <f>IF(D10&gt;0,(((D8*D9)+(D16*D12))/(D8+D16)),0)</f>
        <v>18833.877657386729</v>
      </c>
      <c r="E25" s="36">
        <f>IF(E10&gt;0,(((E8*E9)+(E16*E12))/(E8+E16)),0)</f>
        <v>108832.87661729124</v>
      </c>
      <c r="F25" s="36">
        <f>IF(F10&gt;0,(((F8*F9)+(F16*F12))/(F8+F16)),0)</f>
        <v>0</v>
      </c>
      <c r="G25" s="36">
        <f>IF(G10&gt;0,(((G8*G9)+(G16*G12))/(G8+G16)),0)</f>
        <v>0</v>
      </c>
      <c r="H25" s="36">
        <f>IF(H10&gt;0,(((H8*H9)+(H16*H12))/(H8+H16)),0)</f>
        <v>14325.355013056545</v>
      </c>
      <c r="I25" s="43"/>
    </row>
    <row r="26" spans="2:9" ht="17.5" customHeight="1" x14ac:dyDescent="0.45">
      <c r="B26" s="43"/>
      <c r="C26" s="8" t="s">
        <v>7</v>
      </c>
      <c r="D26" s="20">
        <f>D24*D25</f>
        <v>132036044.22399999</v>
      </c>
      <c r="E26" s="20">
        <f>E24*E25</f>
        <v>132036044.22400001</v>
      </c>
      <c r="F26" s="20">
        <f>F24*F25</f>
        <v>0</v>
      </c>
      <c r="G26" s="20">
        <f>G24*G25</f>
        <v>0</v>
      </c>
      <c r="H26" s="20">
        <f>H24*H25</f>
        <v>37724584.064000003</v>
      </c>
      <c r="I26" s="37">
        <f>SUM(D26:G26)</f>
        <v>264072088.44800001</v>
      </c>
    </row>
    <row r="32" spans="2:9" x14ac:dyDescent="0.45">
      <c r="E32" s="38"/>
    </row>
  </sheetData>
  <mergeCells count="7">
    <mergeCell ref="I2:I4"/>
    <mergeCell ref="B8:B11"/>
    <mergeCell ref="B12:B21"/>
    <mergeCell ref="B24:B26"/>
    <mergeCell ref="B2:B4"/>
    <mergeCell ref="I24:I25"/>
    <mergeCell ref="B5:B7"/>
  </mergeCells>
  <phoneticPr fontId="4" type="noConversion"/>
  <conditionalFormatting sqref="D16:D23">
    <cfRule type="expression" dxfId="29" priority="21">
      <formula>#REF!+#REF!&gt;0</formula>
    </cfRule>
  </conditionalFormatting>
  <conditionalFormatting sqref="D15:E15">
    <cfRule type="expression" dxfId="28" priority="16">
      <formula>#REF!+C15&gt;0</formula>
    </cfRule>
  </conditionalFormatting>
  <conditionalFormatting sqref="D13:I13">
    <cfRule type="expression" dxfId="27" priority="12" stopIfTrue="1">
      <formula>D13&gt;0</formula>
    </cfRule>
  </conditionalFormatting>
  <conditionalFormatting sqref="D13:I14">
    <cfRule type="expression" dxfId="26" priority="9">
      <formula>D13&lt;0</formula>
    </cfRule>
  </conditionalFormatting>
  <conditionalFormatting sqref="D14:I14">
    <cfRule type="expression" dxfId="25" priority="10">
      <formula>D14&gt;0</formula>
    </cfRule>
  </conditionalFormatting>
  <conditionalFormatting sqref="E16:E17 I16:I23 E22:E23">
    <cfRule type="expression" dxfId="24" priority="28">
      <formula>C16+#REF!&gt;0</formula>
    </cfRule>
  </conditionalFormatting>
  <conditionalFormatting sqref="E18:E21">
    <cfRule type="expression" dxfId="23" priority="6">
      <formula>#REF!+#REF!&gt;0</formula>
    </cfRule>
  </conditionalFormatting>
  <conditionalFormatting sqref="F16:F21">
    <cfRule type="expression" dxfId="22" priority="3">
      <formula>#REF!+#REF!&gt;0</formula>
    </cfRule>
  </conditionalFormatting>
  <conditionalFormatting sqref="F22:F23">
    <cfRule type="expression" dxfId="21" priority="58">
      <formula>E22+#REF!&gt;0</formula>
    </cfRule>
  </conditionalFormatting>
  <conditionalFormatting sqref="F15:I15">
    <cfRule type="expression" dxfId="20" priority="8">
      <formula>#REF!+E15&gt;0</formula>
    </cfRule>
  </conditionalFormatting>
  <conditionalFormatting sqref="G16:G23">
    <cfRule type="expression" dxfId="19" priority="4">
      <formula>#REF!+#REF!&gt;0</formula>
    </cfRule>
  </conditionalFormatting>
  <conditionalFormatting sqref="H16:H21">
    <cfRule type="expression" dxfId="1" priority="1">
      <formula>#REF!+#REF!&gt;0</formula>
    </cfRule>
  </conditionalFormatting>
  <conditionalFormatting sqref="H22:H23">
    <cfRule type="expression" dxfId="0" priority="2">
      <formula>G22+#REF!&gt;0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tabSelected="1" workbookViewId="0">
      <selection activeCell="F33" sqref="F33"/>
    </sheetView>
  </sheetViews>
  <sheetFormatPr defaultRowHeight="17" x14ac:dyDescent="0.45"/>
  <cols>
    <col min="1" max="1" width="3.33203125" style="13" customWidth="1"/>
    <col min="2" max="2" width="11" style="13" bestFit="1" customWidth="1"/>
    <col min="3" max="3" width="13" style="13" bestFit="1" customWidth="1"/>
    <col min="4" max="4" width="39" style="13" customWidth="1"/>
    <col min="5" max="5" width="34.33203125" style="13" customWidth="1"/>
    <col min="6" max="6" width="13.83203125" style="13" bestFit="1" customWidth="1"/>
  </cols>
  <sheetData>
    <row r="1" spans="2:6" ht="17.5" customHeight="1" x14ac:dyDescent="0.45"/>
    <row r="2" spans="2:6" x14ac:dyDescent="0.45">
      <c r="B2" s="44" t="s">
        <v>10</v>
      </c>
      <c r="C2" s="8" t="s">
        <v>11</v>
      </c>
      <c r="D2" s="7">
        <v>1</v>
      </c>
      <c r="E2" s="7">
        <v>2</v>
      </c>
      <c r="F2" s="41" t="s">
        <v>12</v>
      </c>
    </row>
    <row r="3" spans="2:6" x14ac:dyDescent="0.45">
      <c r="B3" s="42"/>
      <c r="C3" s="8" t="s">
        <v>13</v>
      </c>
      <c r="D3" s="14" t="s">
        <v>39</v>
      </c>
      <c r="E3" s="14" t="s">
        <v>40</v>
      </c>
      <c r="F3" s="42"/>
    </row>
    <row r="4" spans="2:6" ht="17.5" customHeight="1" x14ac:dyDescent="0.45">
      <c r="B4" s="43"/>
      <c r="C4" s="8" t="s">
        <v>17</v>
      </c>
      <c r="D4" s="9" t="s">
        <v>41</v>
      </c>
      <c r="E4" s="9" t="s">
        <v>42</v>
      </c>
      <c r="F4" s="43"/>
    </row>
    <row r="5" spans="2:6" x14ac:dyDescent="0.45">
      <c r="B5" s="44" t="s">
        <v>43</v>
      </c>
      <c r="C5" s="18" t="s">
        <v>22</v>
      </c>
      <c r="D5" s="25">
        <v>0.7</v>
      </c>
      <c r="E5" s="25">
        <v>0.3</v>
      </c>
      <c r="F5" s="17">
        <f>SUM(A5:E5)</f>
        <v>1</v>
      </c>
    </row>
    <row r="6" spans="2:6" ht="17.5" customHeight="1" x14ac:dyDescent="0.45">
      <c r="B6" s="42"/>
      <c r="C6" s="18" t="s">
        <v>23</v>
      </c>
      <c r="D6" s="25">
        <v>1</v>
      </c>
      <c r="E6" s="25">
        <v>0.7</v>
      </c>
      <c r="F6" s="17"/>
    </row>
    <row r="7" spans="2:6" ht="17.5" customHeight="1" x14ac:dyDescent="0.45">
      <c r="B7" s="43"/>
      <c r="C7" s="18" t="s">
        <v>24</v>
      </c>
      <c r="D7" s="26">
        <f>Assets!$D$7*(D5)*D6</f>
        <v>81527721.099999994</v>
      </c>
      <c r="E7" s="26">
        <f>Assets!$D$7*(E5)*E6</f>
        <v>24458316.329999998</v>
      </c>
      <c r="F7" s="30">
        <f>SUM(A7:D7)</f>
        <v>81527721.099999994</v>
      </c>
    </row>
    <row r="8" spans="2:6" ht="17.5" customHeight="1" x14ac:dyDescent="0.45">
      <c r="B8" s="44" t="s">
        <v>25</v>
      </c>
      <c r="C8" s="28" t="s">
        <v>26</v>
      </c>
      <c r="D8" s="29">
        <v>8489</v>
      </c>
      <c r="E8" s="29">
        <v>392</v>
      </c>
      <c r="F8" s="10"/>
    </row>
    <row r="9" spans="2:6" ht="17.5" customHeight="1" x14ac:dyDescent="0.45">
      <c r="B9" s="42"/>
      <c r="C9" s="28" t="s">
        <v>27</v>
      </c>
      <c r="D9" s="29">
        <v>9597</v>
      </c>
      <c r="E9" s="29">
        <v>35690</v>
      </c>
      <c r="F9" s="10"/>
    </row>
    <row r="10" spans="2:6" ht="17.5" customHeight="1" x14ac:dyDescent="0.45">
      <c r="B10" s="42"/>
      <c r="C10" s="8" t="s">
        <v>7</v>
      </c>
      <c r="D10" s="26">
        <f>D9*D8</f>
        <v>81468933</v>
      </c>
      <c r="E10" s="26">
        <f>E9*E8</f>
        <v>13990480</v>
      </c>
      <c r="F10" s="30">
        <f>SUM(A10:D10)</f>
        <v>81468933</v>
      </c>
    </row>
    <row r="11" spans="2:6" ht="17.5" customHeight="1" x14ac:dyDescent="0.45">
      <c r="B11" s="43"/>
      <c r="C11" s="18" t="s">
        <v>28</v>
      </c>
      <c r="D11" s="31">
        <f>IFERROR(D10/$F$10, 0)</f>
        <v>1</v>
      </c>
      <c r="E11" s="31">
        <f>IFERROR(E10/$F$10, 0)</f>
        <v>0.17172779223707274</v>
      </c>
      <c r="F11" s="32">
        <f>SUM(A11:D11)</f>
        <v>1</v>
      </c>
    </row>
    <row r="12" spans="2:6" x14ac:dyDescent="0.45">
      <c r="B12" s="49" t="s">
        <v>29</v>
      </c>
      <c r="C12" s="18" t="s">
        <v>30</v>
      </c>
      <c r="D12" s="33">
        <v>10045</v>
      </c>
      <c r="E12" s="33">
        <v>37230</v>
      </c>
      <c r="F12" s="18"/>
    </row>
    <row r="13" spans="2:6" x14ac:dyDescent="0.45">
      <c r="B13" s="50"/>
      <c r="C13" s="8" t="s">
        <v>31</v>
      </c>
      <c r="D13" s="11">
        <f>IF(D9&gt;0, (D12-D9)/D9, 0)</f>
        <v>4.6681254558716266E-2</v>
      </c>
      <c r="E13" s="11">
        <f>IF(E9&gt;0, (E12-E9)/E9, 0)</f>
        <v>4.3149341552255534E-2</v>
      </c>
      <c r="F13" s="11">
        <f>IFERROR(F14/F10, 0)</f>
        <v>5.4091195719968496E-2</v>
      </c>
    </row>
    <row r="14" spans="2:6" x14ac:dyDescent="0.45">
      <c r="B14" s="50"/>
      <c r="C14" s="18" t="s">
        <v>32</v>
      </c>
      <c r="D14" s="34">
        <f>D10*D13</f>
        <v>3803072</v>
      </c>
      <c r="E14" s="34">
        <f>E10*E13</f>
        <v>603680</v>
      </c>
      <c r="F14" s="34">
        <f>SUM(D14:E14)</f>
        <v>4406752</v>
      </c>
    </row>
    <row r="15" spans="2:6" x14ac:dyDescent="0.45">
      <c r="B15" s="50"/>
      <c r="C15" s="18" t="s">
        <v>44</v>
      </c>
      <c r="D15" s="20">
        <f>D7-D10</f>
        <v>58788.09999999404</v>
      </c>
      <c r="E15" s="20">
        <f>E7-E10</f>
        <v>10467836.329999998</v>
      </c>
      <c r="F15" s="20">
        <f>SUM(A15:D15)</f>
        <v>58788.09999999404</v>
      </c>
    </row>
    <row r="16" spans="2:6" ht="17.5" customHeight="1" x14ac:dyDescent="0.45">
      <c r="B16" s="50"/>
      <c r="C16" s="18" t="s">
        <v>33</v>
      </c>
      <c r="D16" s="34">
        <f>IFERROR((D7-D10)/D12, 0)</f>
        <v>5.8524738675952257</v>
      </c>
      <c r="E16" s="34">
        <f>IFERROR((E7-E10)/E12, 0)</f>
        <v>281.1667023905452</v>
      </c>
      <c r="F16" s="34">
        <f>IFERROR((F7-F10)/F12, 0)</f>
        <v>0</v>
      </c>
    </row>
    <row r="17" spans="2:6" s="1" customFormat="1" ht="17.5" customHeight="1" x14ac:dyDescent="0.45">
      <c r="B17" s="50"/>
      <c r="C17" s="18" t="s">
        <v>34</v>
      </c>
      <c r="D17" s="29">
        <v>1</v>
      </c>
      <c r="E17" s="29">
        <v>1</v>
      </c>
      <c r="F17" s="34"/>
    </row>
    <row r="18" spans="2:6" s="1" customFormat="1" ht="17.5" customHeight="1" x14ac:dyDescent="0.45">
      <c r="B18" s="50"/>
      <c r="C18" s="19">
        <v>0.4</v>
      </c>
      <c r="D18" s="20">
        <f>IF(D$17=1, D$16*Assets!$H4, -D$8*Assets!$H4)</f>
        <v>2.3409895470380904</v>
      </c>
      <c r="E18" s="20">
        <f>IF(E$17=1, E$16*Assets!$H4, -E$8*Assets!$H4)</f>
        <v>112.46668095621808</v>
      </c>
      <c r="F18" s="34"/>
    </row>
    <row r="19" spans="2:6" s="1" customFormat="1" ht="17.5" customHeight="1" x14ac:dyDescent="0.45">
      <c r="B19" s="50"/>
      <c r="C19" s="19">
        <v>0.3</v>
      </c>
      <c r="D19" s="20">
        <f>IF(D$17=1, D$16*Assets!$H5, -D$8*Assets!$H5)</f>
        <v>1.7557421602785677</v>
      </c>
      <c r="E19" s="20">
        <f>IF(E$17=1, E$16*Assets!$H5, -E$8*Assets!$H5)</f>
        <v>84.350010717163556</v>
      </c>
      <c r="F19" s="34"/>
    </row>
    <row r="20" spans="2:6" s="1" customFormat="1" ht="17.5" customHeight="1" x14ac:dyDescent="0.45">
      <c r="B20" s="50"/>
      <c r="C20" s="19">
        <v>0.2</v>
      </c>
      <c r="D20" s="20">
        <f>IF(D$17=1, D$16*Assets!$H6, -D$8*Assets!$H6)</f>
        <v>1.1704947735190452</v>
      </c>
      <c r="E20" s="20">
        <f>IF(E$17=1, E$16*Assets!$H6, -E$8*Assets!$H6)</f>
        <v>56.233340478109042</v>
      </c>
      <c r="F20" s="34"/>
    </row>
    <row r="21" spans="2:6" s="1" customFormat="1" ht="17.5" customHeight="1" x14ac:dyDescent="0.45">
      <c r="B21" s="50"/>
      <c r="C21" s="19">
        <v>0.1</v>
      </c>
      <c r="D21" s="20">
        <f>IF(D$17=1, D$16*Assets!$H7, -D$8*Assets!$H7)</f>
        <v>0.58524738675952259</v>
      </c>
      <c r="E21" s="20">
        <f>IF(E$17=1, E$16*Assets!$H7, -E$8*Assets!$H7)</f>
        <v>28.116670239054521</v>
      </c>
      <c r="F21" s="34"/>
    </row>
    <row r="22" spans="2:6" s="1" customFormat="1" ht="17.5" customHeight="1" x14ac:dyDescent="0.45">
      <c r="C22" s="12"/>
      <c r="D22" s="35"/>
      <c r="E22" s="35"/>
      <c r="F22" s="35"/>
    </row>
    <row r="23" spans="2:6" x14ac:dyDescent="0.45">
      <c r="B23" s="48" t="s">
        <v>35</v>
      </c>
      <c r="C23" s="8" t="s">
        <v>36</v>
      </c>
      <c r="D23" s="26">
        <f>D8+D16</f>
        <v>8494.8524738675951</v>
      </c>
      <c r="E23" s="26">
        <f>E8+E16</f>
        <v>673.1667023905452</v>
      </c>
      <c r="F23" s="41" t="s">
        <v>37</v>
      </c>
    </row>
    <row r="24" spans="2:6" x14ac:dyDescent="0.45">
      <c r="B24" s="42"/>
      <c r="C24" s="8" t="s">
        <v>38</v>
      </c>
      <c r="D24" s="36">
        <f>IF(D10&gt;0,(((D8*D9)+(D16*D12))/(D8+D16)),0)</f>
        <v>9597.3086467129069</v>
      </c>
      <c r="E24" s="36">
        <f>IF(E10&gt;0,(((E8*E9)+(E16*E12))/(E8+E16)),0)</f>
        <v>36333.223617781128</v>
      </c>
      <c r="F24" s="43"/>
    </row>
    <row r="25" spans="2:6" ht="17.5" customHeight="1" x14ac:dyDescent="0.45">
      <c r="B25" s="43"/>
      <c r="C25" s="18" t="s">
        <v>45</v>
      </c>
      <c r="D25" s="39">
        <f>D23*D24</f>
        <v>81527721.099999994</v>
      </c>
      <c r="E25" s="39">
        <f>E23*E24</f>
        <v>24458316.329999998</v>
      </c>
      <c r="F25" s="37">
        <f>SUM(A25:D25)</f>
        <v>81527721.099999994</v>
      </c>
    </row>
  </sheetData>
  <mergeCells count="7">
    <mergeCell ref="B8:B11"/>
    <mergeCell ref="F2:F4"/>
    <mergeCell ref="B2:B4"/>
    <mergeCell ref="B23:B25"/>
    <mergeCell ref="B5:B7"/>
    <mergeCell ref="F23:F24"/>
    <mergeCell ref="B12:B21"/>
  </mergeCells>
  <phoneticPr fontId="4" type="noConversion"/>
  <conditionalFormatting sqref="D17:D21">
    <cfRule type="expression" dxfId="18" priority="2">
      <formula>#REF!+#REF!&gt;0</formula>
    </cfRule>
  </conditionalFormatting>
  <conditionalFormatting sqref="D13:F13">
    <cfRule type="expression" dxfId="17" priority="6" stopIfTrue="1">
      <formula>D13&gt;0</formula>
    </cfRule>
  </conditionalFormatting>
  <conditionalFormatting sqref="D13:F14">
    <cfRule type="expression" dxfId="16" priority="4">
      <formula>D13&lt;0</formula>
    </cfRule>
  </conditionalFormatting>
  <conditionalFormatting sqref="D14:F14">
    <cfRule type="expression" dxfId="15" priority="14">
      <formula>D14&gt;0</formula>
    </cfRule>
  </conditionalFormatting>
  <conditionalFormatting sqref="D15:F15">
    <cfRule type="expression" dxfId="14" priority="10">
      <formula>#REF!+C15&gt;0</formula>
    </cfRule>
  </conditionalFormatting>
  <conditionalFormatting sqref="D16:F16 F17:F21 D22:F22">
    <cfRule type="expression" dxfId="13" priority="9">
      <formula>B16+#REF!&gt;0</formula>
    </cfRule>
  </conditionalFormatting>
  <conditionalFormatting sqref="E17">
    <cfRule type="expression" dxfId="12" priority="3">
      <formula>C17+#REF!&gt;0</formula>
    </cfRule>
  </conditionalFormatting>
  <conditionalFormatting sqref="E18:E21">
    <cfRule type="expression" dxfId="11" priority="1">
      <formula>#REF!+#REF!&gt;0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20"/>
  <sheetViews>
    <sheetView workbookViewId="0">
      <selection activeCell="D38" sqref="D38"/>
    </sheetView>
  </sheetViews>
  <sheetFormatPr defaultRowHeight="17" x14ac:dyDescent="0.45"/>
  <cols>
    <col min="1" max="1" width="3.6640625" style="13" customWidth="1"/>
    <col min="2" max="2" width="11" style="13" bestFit="1" customWidth="1"/>
    <col min="3" max="3" width="10.4140625" style="13" bestFit="1" customWidth="1"/>
    <col min="4" max="4" width="31.9140625" style="13" bestFit="1" customWidth="1"/>
    <col min="5" max="5" width="26.9140625" style="13" customWidth="1"/>
    <col min="6" max="6" width="12.6640625" style="13" bestFit="1" customWidth="1"/>
  </cols>
  <sheetData>
    <row r="2" spans="2:6" x14ac:dyDescent="0.45">
      <c r="B2" s="44" t="s">
        <v>10</v>
      </c>
      <c r="C2" s="8" t="s">
        <v>11</v>
      </c>
      <c r="D2" s="7">
        <v>1</v>
      </c>
      <c r="E2" s="7">
        <v>2</v>
      </c>
      <c r="F2" s="41" t="s">
        <v>12</v>
      </c>
    </row>
    <row r="3" spans="2:6" x14ac:dyDescent="0.45">
      <c r="B3" s="42"/>
      <c r="C3" s="8" t="s">
        <v>13</v>
      </c>
      <c r="D3" s="14" t="s">
        <v>46</v>
      </c>
      <c r="E3" s="15"/>
      <c r="F3" s="42"/>
    </row>
    <row r="4" spans="2:6" x14ac:dyDescent="0.45">
      <c r="B4" s="43"/>
      <c r="C4" s="8" t="s">
        <v>17</v>
      </c>
      <c r="D4" s="9" t="s">
        <v>47</v>
      </c>
      <c r="E4" s="9"/>
      <c r="F4" s="43"/>
    </row>
    <row r="5" spans="2:6" x14ac:dyDescent="0.45">
      <c r="B5" s="44" t="s">
        <v>43</v>
      </c>
      <c r="C5" s="18" t="s">
        <v>22</v>
      </c>
      <c r="D5" s="25">
        <v>1</v>
      </c>
      <c r="E5" s="25"/>
      <c r="F5" s="17">
        <f>SUM(A5:E5)</f>
        <v>1</v>
      </c>
    </row>
    <row r="6" spans="2:6" x14ac:dyDescent="0.45">
      <c r="B6" s="42"/>
      <c r="C6" s="18" t="s">
        <v>23</v>
      </c>
      <c r="D6" s="25">
        <v>1</v>
      </c>
      <c r="E6" s="25"/>
      <c r="F6" s="17"/>
    </row>
    <row r="7" spans="2:6" x14ac:dyDescent="0.45">
      <c r="B7" s="43"/>
      <c r="C7" s="18" t="s">
        <v>24</v>
      </c>
      <c r="D7" s="26">
        <f>Assets!$D$10*(D5)*D6</f>
        <v>13756880</v>
      </c>
      <c r="E7" s="26">
        <f>Assets!$D$4*(E5)*E6</f>
        <v>0</v>
      </c>
      <c r="F7" s="30">
        <f>SUM(A7:D7)</f>
        <v>13756880</v>
      </c>
    </row>
    <row r="8" spans="2:6" x14ac:dyDescent="0.45">
      <c r="B8" s="44" t="s">
        <v>25</v>
      </c>
      <c r="C8" s="28" t="s">
        <v>26</v>
      </c>
      <c r="D8" s="29">
        <v>1195</v>
      </c>
      <c r="E8" s="29"/>
      <c r="F8" s="10"/>
    </row>
    <row r="9" spans="2:6" x14ac:dyDescent="0.45">
      <c r="B9" s="42"/>
      <c r="C9" s="28" t="s">
        <v>27</v>
      </c>
      <c r="D9" s="29">
        <v>8061</v>
      </c>
      <c r="E9" s="29"/>
      <c r="F9" s="10"/>
    </row>
    <row r="10" spans="2:6" x14ac:dyDescent="0.45">
      <c r="B10" s="42"/>
      <c r="C10" s="8" t="s">
        <v>7</v>
      </c>
      <c r="D10" s="26">
        <f>D9*D8</f>
        <v>9632895</v>
      </c>
      <c r="E10" s="26">
        <f>E9*E8</f>
        <v>0</v>
      </c>
      <c r="F10" s="30">
        <f>SUM(A10:D10)</f>
        <v>9632895</v>
      </c>
    </row>
    <row r="11" spans="2:6" x14ac:dyDescent="0.45">
      <c r="B11" s="43"/>
      <c r="C11" s="18" t="s">
        <v>28</v>
      </c>
      <c r="D11" s="31">
        <f>IFERROR(D10/$F$10, 0)</f>
        <v>1</v>
      </c>
      <c r="E11" s="31">
        <f>IFERROR(E10/$F$10, 0)</f>
        <v>0</v>
      </c>
      <c r="F11" s="32">
        <f>SUM(A11:D11)</f>
        <v>1</v>
      </c>
    </row>
    <row r="12" spans="2:6" x14ac:dyDescent="0.45">
      <c r="B12" s="48" t="s">
        <v>29</v>
      </c>
      <c r="C12" s="18" t="s">
        <v>30</v>
      </c>
      <c r="D12" s="33">
        <v>8005</v>
      </c>
      <c r="E12" s="40"/>
      <c r="F12" s="18"/>
    </row>
    <row r="13" spans="2:6" x14ac:dyDescent="0.45">
      <c r="B13" s="42"/>
      <c r="C13" s="8" t="s">
        <v>31</v>
      </c>
      <c r="D13" s="11">
        <f>IF(D9&gt;0, (D12-D9)/D9, 0)</f>
        <v>-6.9470289046024069E-3</v>
      </c>
      <c r="E13" s="11">
        <f>IF(E9&gt;0, (E12-E9)/E9, 0)</f>
        <v>0</v>
      </c>
      <c r="F13" s="11">
        <f>IFERROR(F14/F10, 0)</f>
        <v>-6.9470289046024069E-3</v>
      </c>
    </row>
    <row r="14" spans="2:6" x14ac:dyDescent="0.45">
      <c r="B14" s="42"/>
      <c r="C14" s="18" t="s">
        <v>32</v>
      </c>
      <c r="D14" s="34">
        <f>D10*D13</f>
        <v>-66920</v>
      </c>
      <c r="E14" s="34">
        <f>E10*E13</f>
        <v>0</v>
      </c>
      <c r="F14" s="34">
        <f>SUM(A14:D14)</f>
        <v>-66920</v>
      </c>
    </row>
    <row r="15" spans="2:6" x14ac:dyDescent="0.45">
      <c r="B15" s="42"/>
      <c r="C15" s="18" t="s">
        <v>44</v>
      </c>
      <c r="D15" s="20">
        <f>D7-D10</f>
        <v>4123985</v>
      </c>
      <c r="E15" s="20">
        <f>E7-E10</f>
        <v>0</v>
      </c>
      <c r="F15" s="20">
        <f>SUM(A15:D15)</f>
        <v>4123985</v>
      </c>
    </row>
    <row r="16" spans="2:6" x14ac:dyDescent="0.45">
      <c r="B16" s="43"/>
      <c r="C16" s="18" t="s">
        <v>33</v>
      </c>
      <c r="D16" s="34">
        <f>IFERROR((D7-D10)/D12, 0)</f>
        <v>515.17613991255462</v>
      </c>
      <c r="E16" s="34">
        <f>IFERROR((E7-E10)/E12, 0)</f>
        <v>0</v>
      </c>
      <c r="F16" s="34">
        <f>IFERROR((F7-F10)/F12, 0)</f>
        <v>0</v>
      </c>
    </row>
    <row r="17" spans="2:6" s="1" customFormat="1" x14ac:dyDescent="0.45">
      <c r="C17" s="12"/>
      <c r="D17" s="35"/>
      <c r="E17" s="35"/>
      <c r="F17" s="35"/>
    </row>
    <row r="18" spans="2:6" x14ac:dyDescent="0.45">
      <c r="B18" s="48" t="s">
        <v>35</v>
      </c>
      <c r="C18" s="8" t="s">
        <v>36</v>
      </c>
      <c r="D18" s="26">
        <f>D8+D16</f>
        <v>1710.1761399125546</v>
      </c>
      <c r="E18" s="26">
        <f>E8+E16</f>
        <v>0</v>
      </c>
      <c r="F18" s="41" t="s">
        <v>37</v>
      </c>
    </row>
    <row r="19" spans="2:6" x14ac:dyDescent="0.45">
      <c r="B19" s="42"/>
      <c r="C19" s="8" t="s">
        <v>38</v>
      </c>
      <c r="D19" s="36">
        <f>IF(D10&gt;0,(((D8*D9)+(D16*D12))/(D8+D16)),0)</f>
        <v>8044.1304722585019</v>
      </c>
      <c r="E19" s="36">
        <f>IF(E10&gt;0,(((E8*E9)+(E16*E12))/(E8+E16)),0)</f>
        <v>0</v>
      </c>
      <c r="F19" s="43"/>
    </row>
    <row r="20" spans="2:6" x14ac:dyDescent="0.45">
      <c r="B20" s="43"/>
      <c r="C20" s="18" t="s">
        <v>45</v>
      </c>
      <c r="D20" s="39">
        <f>D18*D19</f>
        <v>13756880</v>
      </c>
      <c r="E20" s="39">
        <f>E18*E19</f>
        <v>0</v>
      </c>
      <c r="F20" s="37">
        <f>SUM(A20:D20)</f>
        <v>13756880</v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phoneticPr fontId="4" type="noConversion"/>
  <conditionalFormatting sqref="D13:E13">
    <cfRule type="expression" dxfId="10" priority="12" stopIfTrue="1">
      <formula>D13&gt;0</formula>
    </cfRule>
  </conditionalFormatting>
  <conditionalFormatting sqref="D13:E14">
    <cfRule type="expression" dxfId="9" priority="9">
      <formula>D13&lt;0</formula>
    </cfRule>
  </conditionalFormatting>
  <conditionalFormatting sqref="D14:E14">
    <cfRule type="expression" dxfId="8" priority="10">
      <formula>D14&gt;0</formula>
    </cfRule>
  </conditionalFormatting>
  <conditionalFormatting sqref="D15:F15">
    <cfRule type="expression" dxfId="7" priority="6">
      <formula>#REF!+C15&gt;0</formula>
    </cfRule>
  </conditionalFormatting>
  <conditionalFormatting sqref="D16:F17">
    <cfRule type="expression" dxfId="6" priority="5">
      <formula>B16+#REF!&gt;0</formula>
    </cfRule>
  </conditionalFormatting>
  <conditionalFormatting sqref="F13">
    <cfRule type="expression" dxfId="5" priority="1">
      <formula>F13&lt;0</formula>
    </cfRule>
    <cfRule type="expression" dxfId="4" priority="2" stopIfTrue="1">
      <formula>F13&gt;0</formula>
    </cfRule>
  </conditionalFormatting>
  <conditionalFormatting sqref="F14">
    <cfRule type="expression" dxfId="3" priority="3">
      <formula>E14&lt;0</formula>
    </cfRule>
    <cfRule type="expression" dxfId="2" priority="4">
      <formula>E14&gt;0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Assets</vt:lpstr>
      <vt:lpstr>CMA</vt:lpstr>
      <vt:lpstr>개인연금</vt:lpstr>
      <vt:lpstr>퇴직연금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TAEHO HWANG</dc:creator>
  <cp:lastModifiedBy>TAEHO HWANG</cp:lastModifiedBy>
  <cp:revision>2</cp:revision>
  <cp:lastPrinted>2026-01-22T00:39:54Z</cp:lastPrinted>
  <dcterms:created xsi:type="dcterms:W3CDTF">2020-03-30T01:06:52Z</dcterms:created>
  <dcterms:modified xsi:type="dcterms:W3CDTF">2026-04-21T03:58:50Z</dcterms:modified>
  <cp:version>1300.0100.01</cp:version>
</cp:coreProperties>
</file>