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24892" windowHeight="14914" tabRatio="661" firstSheet="0" activeTab="3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CMA" sheetId="2" state="visible" r:id="rId2"/>
    <sheet xmlns:r="http://schemas.openxmlformats.org/officeDocument/2006/relationships" name="개인연금" sheetId="3" state="visible" r:id="rId3"/>
    <sheet xmlns:r="http://schemas.openxmlformats.org/officeDocument/2006/relationships" name="퇴직연금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0.0_ "/>
  </numFmts>
  <fonts count="12">
    <font>
      <name val="맑은 고딕"/>
      <color rgb="FF000000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  <font>
      <name val="맑은 고딕"/>
      <charset val="129"/>
      <family val="3"/>
      <b val="1"/>
      <color theme="1"/>
      <sz val="11"/>
    </font>
    <font>
      <name val="맑은 고딕"/>
      <family val="2"/>
      <color theme="1"/>
      <sz val="11"/>
      <scheme val="minor"/>
    </font>
    <font>
      <name val="맑은 고딕"/>
      <charset val="129"/>
      <family val="3"/>
      <color rgb="FF1F4E79"/>
      <sz val="11"/>
    </font>
    <font>
      <name val="맑은 고딕"/>
      <charset val="129"/>
      <family val="3"/>
      <color rgb="FF0000FF"/>
      <sz val="11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3"/>
      <color rgb="FF0000FF"/>
      <sz val="11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7">
    <xf numFmtId="0" fontId="0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0" fontId="1" fillId="0" borderId="0" applyAlignment="1">
      <alignment vertical="center"/>
    </xf>
    <xf numFmtId="41" fontId="1" fillId="0" borderId="0" applyAlignment="1">
      <alignment vertical="center"/>
    </xf>
    <xf numFmtId="0" fontId="6" fillId="0" borderId="0"/>
    <xf numFmtId="0" fontId="9" fillId="4" borderId="0" applyAlignment="1">
      <alignment vertical="center"/>
    </xf>
  </cellStyleXfs>
  <cellXfs count="59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0" fontId="5" fillId="3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9" fillId="4" borderId="1" applyAlignment="1" pivotButton="0" quotePrefix="0" xfId="6">
      <alignment horizontal="center" vertical="center"/>
    </xf>
    <xf numFmtId="9" fontId="3" fillId="2" borderId="1" applyAlignment="1" pivotButton="0" quotePrefix="0" xfId="1">
      <alignment vertical="center"/>
    </xf>
    <xf numFmtId="9" fontId="3" fillId="0" borderId="1" applyAlignment="1" pivotButton="0" quotePrefix="0" xfId="1">
      <alignment vertical="center"/>
    </xf>
    <xf numFmtId="0" fontId="0" fillId="0" borderId="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49" fontId="0" fillId="2" borderId="2" applyAlignment="1" pivotButton="0" quotePrefix="0" xfId="5">
      <alignment horizontal="center"/>
    </xf>
    <xf numFmtId="49" fontId="0" fillId="2" borderId="7" applyAlignment="1" pivotButton="0" quotePrefix="0" xfId="5">
      <alignment horizontal="center"/>
    </xf>
    <xf numFmtId="49" fontId="0" fillId="2" borderId="1" applyAlignment="1" pivotButton="0" quotePrefix="0" xfId="5">
      <alignment horizontal="center"/>
    </xf>
    <xf numFmtId="49" fontId="3" fillId="2" borderId="1" applyAlignment="1" pivotButton="0" quotePrefix="0" xfId="5">
      <alignment horizontal="center"/>
    </xf>
    <xf numFmtId="164" fontId="3" fillId="0" borderId="1" applyAlignment="1" pivotButton="0" quotePrefix="0" xfId="2">
      <alignment vertical="center"/>
    </xf>
    <xf numFmtId="164" fontId="3" fillId="2" borderId="1" applyAlignment="1" pivotButton="0" quotePrefix="0" xfId="2">
      <alignment vertical="center"/>
    </xf>
    <xf numFmtId="165" fontId="0" fillId="0" borderId="1" applyAlignment="1" pivotButton="0" quotePrefix="0" xfId="0">
      <alignment vertical="center"/>
    </xf>
    <xf numFmtId="164" fontId="3" fillId="0" borderId="1" applyAlignment="1" pivotButton="0" quotePrefix="0" xfId="2">
      <alignment horizontal="right" vertical="center"/>
    </xf>
    <xf numFmtId="164" fontId="2" fillId="0" borderId="1" applyAlignment="1" pivotButton="0" quotePrefix="0" xfId="0">
      <alignment vertical="center"/>
    </xf>
    <xf numFmtId="164" fontId="0" fillId="0" borderId="6" applyAlignment="1" pivotButton="0" quotePrefix="0" xfId="2">
      <alignment horizontal="center" vertical="center"/>
    </xf>
    <xf numFmtId="164" fontId="2" fillId="2" borderId="6" applyAlignment="1" pivotButton="0" quotePrefix="0" xfId="2">
      <alignment vertical="center"/>
    </xf>
    <xf numFmtId="164" fontId="2" fillId="2" borderId="6" applyAlignment="1" pivotButton="0" quotePrefix="0" xfId="2">
      <alignment horizontal="right" vertical="center"/>
    </xf>
    <xf numFmtId="164" fontId="0" fillId="0" borderId="1" applyAlignment="1" pivotButton="0" quotePrefix="0" xfId="2">
      <alignment horizontal="center" vertical="center"/>
    </xf>
    <xf numFmtId="164" fontId="2" fillId="2" borderId="1" applyAlignment="1" pivotButton="0" quotePrefix="0" xfId="2">
      <alignment vertical="center"/>
    </xf>
    <xf numFmtId="164" fontId="2" fillId="2" borderId="1" applyAlignment="1" pivotButton="0" quotePrefix="0" xfId="2">
      <alignment horizontal="right" vertical="center"/>
    </xf>
    <xf numFmtId="164" fontId="2" fillId="0" borderId="1" applyAlignment="1" pivotButton="0" quotePrefix="0" xfId="2">
      <alignment horizontal="right" vertical="center"/>
    </xf>
    <xf numFmtId="164" fontId="10" fillId="2" borderId="1" applyAlignment="1" pivotButton="0" quotePrefix="0" xfId="2">
      <alignment vertical="center"/>
    </xf>
    <xf numFmtId="164" fontId="8" fillId="2" borderId="1" applyAlignment="1" pivotButton="0" quotePrefix="0" xfId="2">
      <alignment vertical="center"/>
    </xf>
    <xf numFmtId="164" fontId="2" fillId="0" borderId="1" applyAlignment="1" pivotButton="0" quotePrefix="0" xfId="2">
      <alignment vertical="center"/>
    </xf>
    <xf numFmtId="164" fontId="0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6" pivotButton="0" quotePrefix="0" xfId="0"/>
    <xf numFmtId="0" fontId="9" fillId="5" borderId="3" applyAlignment="1" pivotButton="0" quotePrefix="0" xfId="6">
      <alignment horizontal="center" vertical="center"/>
    </xf>
    <xf numFmtId="0" fontId="0" fillId="0" borderId="4" pivotButton="0" quotePrefix="0" xfId="0"/>
    <xf numFmtId="0" fontId="9" fillId="5" borderId="1" applyAlignment="1" pivotButton="0" quotePrefix="0" xfId="6">
      <alignment horizontal="center" vertical="center"/>
    </xf>
    <xf numFmtId="164" fontId="3" fillId="0" borderId="1" applyAlignment="1" pivotButton="0" quotePrefix="0" xfId="2">
      <alignment vertical="center"/>
    </xf>
    <xf numFmtId="164" fontId="3" fillId="2" borderId="1" applyAlignment="1" pivotButton="0" quotePrefix="0" xfId="2">
      <alignment vertical="center"/>
    </xf>
    <xf numFmtId="165" fontId="0" fillId="0" borderId="1" applyAlignment="1" pivotButton="0" quotePrefix="0" xfId="0">
      <alignment vertical="center"/>
    </xf>
    <xf numFmtId="164" fontId="3" fillId="0" borderId="1" applyAlignment="1" pivotButton="0" quotePrefix="0" xfId="2">
      <alignment horizontal="right" vertical="center"/>
    </xf>
    <xf numFmtId="164" fontId="2" fillId="0" borderId="1" applyAlignment="1" pivotButton="0" quotePrefix="0" xfId="0">
      <alignment vertical="center"/>
    </xf>
    <xf numFmtId="164" fontId="0" fillId="0" borderId="6" applyAlignment="1" pivotButton="0" quotePrefix="0" xfId="2">
      <alignment horizontal="center" vertical="center"/>
    </xf>
    <xf numFmtId="164" fontId="2" fillId="2" borderId="6" applyAlignment="1" pivotButton="0" quotePrefix="0" xfId="2">
      <alignment vertical="center"/>
    </xf>
    <xf numFmtId="164" fontId="2" fillId="2" borderId="6" applyAlignment="1" pivotButton="0" quotePrefix="0" xfId="2">
      <alignment horizontal="right" vertical="center"/>
    </xf>
    <xf numFmtId="164" fontId="0" fillId="0" borderId="1" applyAlignment="1" pivotButton="0" quotePrefix="0" xfId="2">
      <alignment horizontal="center" vertical="center"/>
    </xf>
    <xf numFmtId="164" fontId="2" fillId="2" borderId="1" applyAlignment="1" pivotButton="0" quotePrefix="0" xfId="2">
      <alignment vertical="center"/>
    </xf>
    <xf numFmtId="164" fontId="2" fillId="2" borderId="1" applyAlignment="1" pivotButton="0" quotePrefix="0" xfId="2">
      <alignment horizontal="right" vertical="center"/>
    </xf>
    <xf numFmtId="164" fontId="2" fillId="0" borderId="1" applyAlignment="1" pivotButton="0" quotePrefix="0" xfId="2">
      <alignment horizontal="right" vertical="center"/>
    </xf>
    <xf numFmtId="164" fontId="11" fillId="2" borderId="1" applyAlignment="1" pivotButton="0" quotePrefix="0" xfId="2">
      <alignment vertical="center"/>
    </xf>
    <xf numFmtId="164" fontId="8" fillId="2" borderId="1" applyAlignment="1" pivotButton="0" quotePrefix="0" xfId="2">
      <alignment vertical="center"/>
    </xf>
    <xf numFmtId="164" fontId="2" fillId="0" borderId="1" applyAlignment="1" pivotButton="0" quotePrefix="0" xfId="2">
      <alignment vertical="center"/>
    </xf>
    <xf numFmtId="164" fontId="0" fillId="0" borderId="1" applyAlignment="1" pivotButton="0" quotePrefix="0" xfId="0">
      <alignment vertical="center"/>
    </xf>
  </cellXfs>
  <cellStyles count="7">
    <cellStyle name="표준" xfId="0" builtinId="0"/>
    <cellStyle name="백분율" xfId="1" builtinId="5"/>
    <cellStyle name="쉼표 [0]" xfId="2" builtinId="6"/>
    <cellStyle name="표준 2" xfId="3"/>
    <cellStyle name="쉼표 [0] 2" xfId="4"/>
    <cellStyle name="Normal" xfId="5"/>
    <cellStyle name="강조색1" xfId="6" builtinId="2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1"/>
  <sheetViews>
    <sheetView workbookViewId="0">
      <selection activeCell="D9" sqref="D9"/>
    </sheetView>
  </sheetViews>
  <sheetFormatPr baseColWidth="8" defaultRowHeight="17.6"/>
  <cols>
    <col width="14.2109375" bestFit="1" customWidth="1" style="8" min="2" max="3"/>
    <col width="14.28515625" bestFit="1" customWidth="1" style="8" min="4" max="4"/>
    <col width="14.2109375" bestFit="1" customWidth="1" style="8" min="5" max="5"/>
    <col width="11.7109375" bestFit="1" customWidth="1" style="8" min="6" max="6"/>
  </cols>
  <sheetData>
    <row r="2">
      <c r="B2" s="11" t="inlineStr">
        <is>
          <t>CMA</t>
        </is>
      </c>
      <c r="C2" s="11" t="inlineStr">
        <is>
          <t>현금보유비중</t>
        </is>
      </c>
      <c r="D2" s="11" t="inlineStr">
        <is>
          <t>투자금</t>
        </is>
      </c>
      <c r="E2" s="11" t="inlineStr">
        <is>
          <t>순자산총액</t>
        </is>
      </c>
      <c r="F2" s="11" t="inlineStr">
        <is>
          <t>평가손익</t>
        </is>
      </c>
    </row>
    <row r="3">
      <c r="B3" s="43">
        <f>E3-F3</f>
        <v/>
      </c>
      <c r="C3" s="2" t="n">
        <v>0.3</v>
      </c>
      <c r="D3" s="43">
        <f>B3*(1-C3)</f>
        <v/>
      </c>
      <c r="E3" s="44" t="n">
        <v>1175392984</v>
      </c>
      <c r="F3" s="44">
        <f>CMA!I13</f>
        <v/>
      </c>
    </row>
    <row r="5">
      <c r="B5" s="11" t="inlineStr">
        <is>
          <t>개인연금</t>
        </is>
      </c>
      <c r="C5" s="11" t="inlineStr">
        <is>
          <t>현금보유비중</t>
        </is>
      </c>
      <c r="D5" s="11" t="inlineStr">
        <is>
          <t>투자금</t>
        </is>
      </c>
      <c r="E5" s="11" t="inlineStr">
        <is>
          <t>순자산총액</t>
        </is>
      </c>
      <c r="F5" s="11" t="inlineStr">
        <is>
          <t>평가손익</t>
        </is>
      </c>
    </row>
    <row r="6">
      <c r="B6" s="43">
        <f>E6-F6</f>
        <v/>
      </c>
      <c r="C6" s="2" t="n">
        <v>0</v>
      </c>
      <c r="D6" s="43">
        <f>B6*(1-C6)</f>
        <v/>
      </c>
      <c r="E6" s="44" t="n">
        <v>116570018</v>
      </c>
      <c r="F6" s="44" t="n">
        <v>196220</v>
      </c>
    </row>
    <row r="8">
      <c r="A8" s="7" t="n"/>
      <c r="B8" s="11" t="inlineStr">
        <is>
          <t>퇴직연금</t>
        </is>
      </c>
      <c r="C8" s="11" t="inlineStr">
        <is>
          <t>현금보유비중</t>
        </is>
      </c>
      <c r="D8" s="11" t="inlineStr">
        <is>
          <t>투자금</t>
        </is>
      </c>
      <c r="E8" s="11" t="inlineStr">
        <is>
          <t>순자산총액</t>
        </is>
      </c>
      <c r="F8" s="11" t="inlineStr">
        <is>
          <t>평가손익</t>
        </is>
      </c>
    </row>
    <row r="9">
      <c r="B9" s="43">
        <f>E9-F9</f>
        <v/>
      </c>
      <c r="C9" s="2" t="n">
        <v>0</v>
      </c>
      <c r="D9" s="43">
        <f>B9*(1-C9)</f>
        <v/>
      </c>
      <c r="E9" s="44" t="n">
        <v>13808303</v>
      </c>
      <c r="F9" s="44" t="n"/>
    </row>
    <row r="11">
      <c r="B11" s="10" t="inlineStr">
        <is>
          <t xml:space="preserve"> </t>
        </is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15"/>
  <sheetViews>
    <sheetView workbookViewId="0">
      <selection activeCell="M19" sqref="M19"/>
    </sheetView>
  </sheetViews>
  <sheetFormatPr baseColWidth="8" defaultRowHeight="17.6"/>
  <cols>
    <col width="2.85546875" customWidth="1" style="8" min="1" max="1"/>
    <col width="11.0703125" bestFit="1" customWidth="1" style="8" min="2" max="2"/>
    <col width="14.42578125" bestFit="1" customWidth="1" style="8" min="3" max="3"/>
    <col width="29.0703125" bestFit="1" customWidth="1" style="8" min="4" max="4"/>
    <col width="13.78515625" bestFit="1" customWidth="1" style="8" min="5" max="5"/>
    <col width="8.140625" customWidth="1" style="8" min="6" max="8"/>
    <col width="13.5703125" bestFit="1" customWidth="1" style="8" min="9" max="9"/>
  </cols>
  <sheetData>
    <row r="1"/>
    <row r="2">
      <c r="B2" s="42" t="inlineStr">
        <is>
          <t>ITEMs</t>
        </is>
      </c>
      <c r="C2" s="6" t="inlineStr">
        <is>
          <t>#</t>
        </is>
      </c>
      <c r="D2" s="1" t="n">
        <v>1</v>
      </c>
      <c r="E2" s="1" t="n">
        <v>2</v>
      </c>
      <c r="F2" s="1" t="n">
        <v>3</v>
      </c>
      <c r="G2" s="1" t="n">
        <v>4</v>
      </c>
      <c r="H2" s="1" t="n">
        <v>5</v>
      </c>
      <c r="I2" s="37" t="inlineStr">
        <is>
          <t>합계</t>
        </is>
      </c>
    </row>
    <row r="3">
      <c r="B3" s="38" t="n"/>
      <c r="C3" s="6" t="inlineStr">
        <is>
          <t>코드</t>
        </is>
      </c>
      <c r="D3" s="17" t="inlineStr">
        <is>
          <t>498400</t>
        </is>
      </c>
      <c r="E3" s="18" t="inlineStr">
        <is>
          <t>091160</t>
        </is>
      </c>
      <c r="F3" s="19" t="n"/>
      <c r="G3" s="19" t="n"/>
      <c r="H3" s="19" t="n"/>
      <c r="I3" s="38" t="n"/>
    </row>
    <row r="4">
      <c r="B4" s="39" t="n"/>
      <c r="C4" s="14" t="inlineStr">
        <is>
          <t>종목</t>
        </is>
      </c>
      <c r="D4" s="15" t="inlineStr">
        <is>
          <t>KODEX 200타겟위클리커버드콜</t>
        </is>
      </c>
      <c r="E4" s="15" t="inlineStr">
        <is>
          <t>KODEX 반도체</t>
        </is>
      </c>
      <c r="F4" s="15" t="n"/>
      <c r="G4" s="15" t="n"/>
      <c r="H4" s="15" t="n"/>
      <c r="I4" s="39" t="n"/>
    </row>
    <row r="5">
      <c r="B5" s="42" t="inlineStr">
        <is>
          <t>Plan</t>
        </is>
      </c>
      <c r="C5" s="37" t="inlineStr">
        <is>
          <t>투자비</t>
        </is>
      </c>
      <c r="D5" s="12" t="n">
        <v>0.6</v>
      </c>
      <c r="E5" s="12" t="n">
        <v>0.4</v>
      </c>
      <c r="F5" s="12" t="n"/>
      <c r="G5" s="12" t="n"/>
      <c r="H5" s="12" t="n"/>
      <c r="I5" s="13">
        <f>SUM(D5:H5)</f>
        <v/>
      </c>
    </row>
    <row r="6">
      <c r="B6" s="38" t="n"/>
      <c r="C6" s="37" t="inlineStr">
        <is>
          <t>분할비</t>
        </is>
      </c>
      <c r="D6" s="12" t="n">
        <v>0.1</v>
      </c>
      <c r="E6" s="12" t="n">
        <v>0.1</v>
      </c>
      <c r="F6" s="12" t="n"/>
      <c r="G6" s="12" t="n"/>
      <c r="H6" s="12" t="n"/>
      <c r="I6" s="45" t="n"/>
    </row>
    <row r="7">
      <c r="B7" s="39" t="n"/>
      <c r="C7" s="37" t="inlineStr">
        <is>
          <t>투자한도</t>
        </is>
      </c>
      <c r="D7" s="46">
        <f>Assets!$D$3*D5*D6</f>
        <v/>
      </c>
      <c r="E7" s="46">
        <f>Assets!$D$3*E5*E6</f>
        <v/>
      </c>
      <c r="F7" s="46">
        <f>Assets!$D$3*(F5/10)*F6</f>
        <v/>
      </c>
      <c r="G7" s="46">
        <f>Assets!$D$3*(G5/10)*G6</f>
        <v/>
      </c>
      <c r="H7" s="46">
        <f>Assets!$D$3*(H5/10)*H6</f>
        <v/>
      </c>
      <c r="I7" s="47">
        <f>SUM(D7:H7)</f>
        <v/>
      </c>
    </row>
    <row r="8">
      <c r="B8" s="40" t="inlineStr">
        <is>
          <t>Investment</t>
        </is>
      </c>
      <c r="C8" s="48" t="inlineStr">
        <is>
          <t>보유량</t>
        </is>
      </c>
      <c r="D8" s="49" t="n">
        <v>2816</v>
      </c>
      <c r="E8" s="49" t="n">
        <v>317</v>
      </c>
      <c r="F8" s="49" t="n"/>
      <c r="G8" s="49" t="n"/>
      <c r="H8" s="50" t="n"/>
      <c r="I8" s="16" t="n"/>
    </row>
    <row r="9">
      <c r="B9" s="41" t="n"/>
      <c r="C9" s="51" t="inlineStr">
        <is>
          <t>평균단가</t>
        </is>
      </c>
      <c r="D9" s="52" t="n">
        <v>18202</v>
      </c>
      <c r="E9" s="52" t="n">
        <v>103981</v>
      </c>
      <c r="F9" s="52" t="n"/>
      <c r="G9" s="52" t="n"/>
      <c r="H9" s="53" t="n"/>
      <c r="I9" s="4" t="n"/>
    </row>
    <row r="10">
      <c r="B10" s="41" t="n"/>
      <c r="C10" s="6" t="inlineStr">
        <is>
          <t>투자금</t>
        </is>
      </c>
      <c r="D10" s="46">
        <f>D9*D8</f>
        <v/>
      </c>
      <c r="E10" s="46">
        <f>E9*E8</f>
        <v/>
      </c>
      <c r="F10" s="54">
        <f>F9*F8</f>
        <v/>
      </c>
      <c r="G10" s="54">
        <f>G9*G8</f>
        <v/>
      </c>
      <c r="H10" s="54">
        <f>H9*H8</f>
        <v/>
      </c>
      <c r="I10" s="47">
        <f>SUM(D10:H10)</f>
        <v/>
      </c>
    </row>
    <row r="11">
      <c r="B11" s="40" t="inlineStr">
        <is>
          <t>수익</t>
        </is>
      </c>
      <c r="C11" s="37" t="inlineStr">
        <is>
          <t>현재가</t>
        </is>
      </c>
      <c r="D11" s="55" t="n">
        <v>18220</v>
      </c>
      <c r="E11" s="55" t="n">
        <v>101725</v>
      </c>
      <c r="F11" s="56" t="n"/>
      <c r="G11" s="56" t="n"/>
      <c r="H11" s="56" t="n"/>
      <c r="I11" s="37" t="inlineStr">
        <is>
          <t>합계</t>
        </is>
      </c>
    </row>
    <row r="12">
      <c r="B12" s="41" t="n"/>
      <c r="C12" s="6" t="inlineStr">
        <is>
          <t>수익률</t>
        </is>
      </c>
      <c r="D12" s="3">
        <f>IF(D9&gt;0, (D11-D9)/D9, 0)</f>
        <v/>
      </c>
      <c r="E12" s="3">
        <f>IF(E9&gt;0, (E11-E9)/E9, 0)</f>
        <v/>
      </c>
      <c r="F12" s="3">
        <f>IF(F9&gt;0, (F11-F9)/F9, 0)</f>
        <v/>
      </c>
      <c r="G12" s="3">
        <f>IF(G9&gt;0, (G11-G9)/G9, 0)</f>
        <v/>
      </c>
      <c r="H12" s="3">
        <f>IF(H9&gt;0, (H11-H9)/H9, 0)</f>
        <v/>
      </c>
      <c r="I12" s="39" t="n"/>
    </row>
    <row r="13">
      <c r="B13" s="41" t="n"/>
      <c r="C13" s="37" t="inlineStr">
        <is>
          <t>수익</t>
        </is>
      </c>
      <c r="D13" s="57">
        <f>D10*D12</f>
        <v/>
      </c>
      <c r="E13" s="57">
        <f>E10*E12</f>
        <v/>
      </c>
      <c r="F13" s="57">
        <f>F10*F12</f>
        <v/>
      </c>
      <c r="G13" s="57">
        <f>G10*G12</f>
        <v/>
      </c>
      <c r="H13" s="57">
        <f>H10*H12</f>
        <v/>
      </c>
      <c r="I13" s="47">
        <f>SUM(D13:H13)</f>
        <v/>
      </c>
    </row>
    <row r="14">
      <c r="B14" s="40" t="inlineStr">
        <is>
          <t>매매</t>
        </is>
      </c>
      <c r="C14" s="37" t="inlineStr">
        <is>
          <t>추가매수한도</t>
        </is>
      </c>
      <c r="D14" s="43">
        <f>D7-D10</f>
        <v/>
      </c>
      <c r="E14" s="43">
        <f>E7-E10</f>
        <v/>
      </c>
      <c r="F14" s="43">
        <f>IF(ABS(F7*F6-F10) &lt; F11, 0,F7*F6-F10)</f>
        <v/>
      </c>
      <c r="G14" s="43">
        <f>IF(ABS(G7*G6-G10) &lt; G11, 0,G7*G6-G10)</f>
        <v/>
      </c>
      <c r="H14" s="43">
        <f>IF(ABS(H7*H6-H10) &lt; H11, 0,H7*H6-H10)</f>
        <v/>
      </c>
      <c r="I14" s="58">
        <f>SUM(D14:H14)</f>
        <v/>
      </c>
    </row>
    <row r="15">
      <c r="B15" s="41" t="n"/>
      <c r="C15" s="37" t="inlineStr">
        <is>
          <t>추가매수</t>
        </is>
      </c>
      <c r="D15" s="57">
        <f>IFERROR(D14/D11,0)</f>
        <v/>
      </c>
      <c r="E15" s="57">
        <f>IFERROR(E14/E11,0)</f>
        <v/>
      </c>
      <c r="F15" s="43">
        <f>IFERROR(F14/F11,0)</f>
        <v/>
      </c>
      <c r="G15" s="43">
        <f>IFERROR(G14/G11,0)</f>
        <v/>
      </c>
      <c r="H15" s="43">
        <f>IFERROR(H14/H11,0)</f>
        <v/>
      </c>
      <c r="I15" s="5" t="n"/>
    </row>
  </sheetData>
  <mergeCells count="7">
    <mergeCell ref="I2:I4"/>
    <mergeCell ref="B11:B13"/>
    <mergeCell ref="B8:B10"/>
    <mergeCell ref="B2:B4"/>
    <mergeCell ref="I11:I12"/>
    <mergeCell ref="B14:B15"/>
    <mergeCell ref="B5:B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5"/>
  <sheetViews>
    <sheetView workbookViewId="0">
      <selection activeCell="D30" sqref="D30"/>
    </sheetView>
  </sheetViews>
  <sheetFormatPr baseColWidth="8" defaultRowHeight="17.6"/>
  <cols>
    <col width="3.7109375" customWidth="1" style="8" min="1" max="1"/>
    <col width="10.5" bestFit="1" customWidth="1" style="8" min="2" max="2"/>
    <col width="12.42578125" bestFit="1" customWidth="1" style="8" min="3" max="3"/>
    <col width="39.5703125" bestFit="1" customWidth="1" style="8" min="4" max="4"/>
    <col width="13.78515625" bestFit="1" customWidth="1" style="8" min="5" max="5"/>
    <col width="13.5703125" bestFit="1" customWidth="1" style="8" min="6" max="6"/>
  </cols>
  <sheetData>
    <row r="1"/>
    <row r="2">
      <c r="B2" s="42" t="inlineStr">
        <is>
          <t>ITEMs</t>
        </is>
      </c>
      <c r="C2" s="6" t="inlineStr">
        <is>
          <t>#</t>
        </is>
      </c>
      <c r="D2" s="1" t="n">
        <v>1</v>
      </c>
      <c r="E2" s="1" t="n">
        <v>2</v>
      </c>
      <c r="F2" s="37" t="inlineStr">
        <is>
          <t>합계</t>
        </is>
      </c>
    </row>
    <row r="3">
      <c r="B3" s="38" t="n"/>
      <c r="C3" s="6" t="inlineStr">
        <is>
          <t>코드</t>
        </is>
      </c>
      <c r="D3" s="20" t="inlineStr">
        <is>
          <t>494300</t>
        </is>
      </c>
      <c r="E3" s="19" t="n"/>
      <c r="F3" s="38" t="n"/>
    </row>
    <row r="4">
      <c r="B4" s="39" t="n"/>
      <c r="C4" s="14" t="inlineStr">
        <is>
          <t>종목</t>
        </is>
      </c>
      <c r="D4" s="15" t="inlineStr">
        <is>
          <t>KODEX 미국나스닥100데일리커버드콜OTM</t>
        </is>
      </c>
      <c r="E4" s="15" t="n"/>
      <c r="F4" s="39" t="n"/>
    </row>
    <row r="5">
      <c r="B5" s="42" t="inlineStr">
        <is>
          <t>Plan</t>
        </is>
      </c>
      <c r="C5" s="37" t="inlineStr">
        <is>
          <t>투자비</t>
        </is>
      </c>
      <c r="D5" s="12" t="n">
        <v>1</v>
      </c>
      <c r="E5" s="12" t="n"/>
      <c r="F5" s="13">
        <f>SUM(D5:E5)</f>
        <v/>
      </c>
    </row>
    <row r="6">
      <c r="B6" s="38" t="n"/>
      <c r="C6" s="37" t="inlineStr">
        <is>
          <t>분할비</t>
        </is>
      </c>
      <c r="D6" s="12" t="n">
        <v>0.7</v>
      </c>
      <c r="E6" s="12" t="n"/>
      <c r="F6" s="45" t="n"/>
    </row>
    <row r="7">
      <c r="B7" s="39" t="n"/>
      <c r="C7" s="37" t="inlineStr">
        <is>
          <t>투자한도</t>
        </is>
      </c>
      <c r="D7" s="46">
        <f>Assets!$D$6*D5*D6</f>
        <v/>
      </c>
      <c r="E7" s="46">
        <f>Assets!$D$3*E5*E6</f>
        <v/>
      </c>
      <c r="F7" s="47">
        <f>SUM(D7:E7)</f>
        <v/>
      </c>
    </row>
    <row r="8">
      <c r="B8" s="40" t="inlineStr">
        <is>
          <t>Investment</t>
        </is>
      </c>
      <c r="C8" s="48" t="inlineStr">
        <is>
          <t>보유량</t>
        </is>
      </c>
      <c r="D8" s="49" t="n">
        <v>8489</v>
      </c>
      <c r="E8" s="49" t="n"/>
      <c r="F8" s="16" t="n"/>
    </row>
    <row r="9">
      <c r="B9" s="41" t="n"/>
      <c r="C9" s="51" t="inlineStr">
        <is>
          <t>평균단가</t>
        </is>
      </c>
      <c r="D9" s="52" t="n">
        <v>9597</v>
      </c>
      <c r="E9" s="52" t="n"/>
      <c r="F9" s="4" t="n"/>
    </row>
    <row r="10">
      <c r="B10" s="41" t="n"/>
      <c r="C10" s="6" t="inlineStr">
        <is>
          <t>투자금</t>
        </is>
      </c>
      <c r="D10" s="46">
        <f>D9*D8</f>
        <v/>
      </c>
      <c r="E10" s="46">
        <f>E9*E8</f>
        <v/>
      </c>
      <c r="F10" s="47">
        <f>SUM(D10:E10)</f>
        <v/>
      </c>
    </row>
    <row r="11">
      <c r="B11" s="40" t="inlineStr">
        <is>
          <t>수익</t>
        </is>
      </c>
      <c r="C11" s="37" t="inlineStr">
        <is>
          <t>현재가</t>
        </is>
      </c>
      <c r="D11" s="55" t="n">
        <v>9620</v>
      </c>
      <c r="E11" s="56" t="n"/>
      <c r="F11" s="37" t="inlineStr">
        <is>
          <t>합계</t>
        </is>
      </c>
    </row>
    <row r="12">
      <c r="B12" s="41" t="n"/>
      <c r="C12" s="6" t="inlineStr">
        <is>
          <t>수익률</t>
        </is>
      </c>
      <c r="D12" s="3">
        <f>IF(D9&gt;0, (D11-D9)/D9, 0)</f>
        <v/>
      </c>
      <c r="E12" s="3">
        <f>IF(E9&gt;0, (E11-E9)/E9, 0)</f>
        <v/>
      </c>
      <c r="F12" s="39" t="n"/>
    </row>
    <row r="13">
      <c r="B13" s="41" t="n"/>
      <c r="C13" s="37" t="inlineStr">
        <is>
          <t>수익</t>
        </is>
      </c>
      <c r="D13" s="57">
        <f>D10*D12</f>
        <v/>
      </c>
      <c r="E13" s="57">
        <f>E10*E12</f>
        <v/>
      </c>
      <c r="F13" s="47">
        <f>SUM(D13:E13)</f>
        <v/>
      </c>
    </row>
    <row r="14">
      <c r="B14" s="40" t="inlineStr">
        <is>
          <t>매매</t>
        </is>
      </c>
      <c r="C14" s="37" t="inlineStr">
        <is>
          <t>추가매수한도</t>
        </is>
      </c>
      <c r="D14" s="43">
        <f>D7-D10</f>
        <v/>
      </c>
      <c r="E14" s="43">
        <f>IF(ABS(E7*E6-E10) &lt; E11, 0,E7*E6-E10)</f>
        <v/>
      </c>
      <c r="F14" s="58">
        <f>SUM(D14:E14)</f>
        <v/>
      </c>
    </row>
    <row r="15">
      <c r="B15" s="41" t="n"/>
      <c r="C15" s="37" t="inlineStr">
        <is>
          <t>추가매수</t>
        </is>
      </c>
      <c r="D15" s="57">
        <f>IFERROR(D14/D11,0)</f>
        <v/>
      </c>
      <c r="E15" s="57">
        <f>IFERROR(E14/E11,0)</f>
        <v/>
      </c>
      <c r="F15" s="5" t="n"/>
    </row>
  </sheetData>
  <mergeCells count="7">
    <mergeCell ref="F2:F4"/>
    <mergeCell ref="B11:B13"/>
    <mergeCell ref="B8:B10"/>
    <mergeCell ref="B2:B4"/>
    <mergeCell ref="F11:F12"/>
    <mergeCell ref="B14:B15"/>
    <mergeCell ref="B5:B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15"/>
  <sheetViews>
    <sheetView tabSelected="1" workbookViewId="0">
      <selection activeCell="I13" sqref="I13"/>
    </sheetView>
  </sheetViews>
  <sheetFormatPr baseColWidth="8" defaultRowHeight="17.6"/>
  <cols>
    <col width="2.640625" customWidth="1" style="8" min="1" max="1"/>
    <col width="10.5" bestFit="1" customWidth="1" style="8" min="2" max="2"/>
    <col width="12.42578125" bestFit="1" customWidth="1" style="8" min="3" max="3"/>
    <col width="39.140625" bestFit="1" customWidth="1" style="8" min="4" max="4"/>
    <col width="10.640625" customWidth="1" style="8" min="5" max="5"/>
    <col width="12.42578125" bestFit="1" customWidth="1" style="8" min="6" max="6"/>
  </cols>
  <sheetData>
    <row r="1"/>
    <row r="2">
      <c r="B2" s="42" t="inlineStr">
        <is>
          <t>ITEMs</t>
        </is>
      </c>
      <c r="C2" s="6" t="inlineStr">
        <is>
          <t>#</t>
        </is>
      </c>
      <c r="D2" s="1" t="n">
        <v>1</v>
      </c>
      <c r="E2" s="1" t="n">
        <v>2</v>
      </c>
      <c r="F2" s="37" t="inlineStr">
        <is>
          <t>합계</t>
        </is>
      </c>
    </row>
    <row r="3">
      <c r="B3" s="38" t="n"/>
      <c r="C3" s="6" t="inlineStr">
        <is>
          <t>코드</t>
        </is>
      </c>
      <c r="D3" s="20" t="inlineStr">
        <is>
          <t>481060</t>
        </is>
      </c>
      <c r="E3" s="19" t="n"/>
      <c r="F3" s="38" t="n"/>
    </row>
    <row r="4">
      <c r="B4" s="39" t="n"/>
      <c r="C4" s="14" t="inlineStr">
        <is>
          <t>종목</t>
        </is>
      </c>
      <c r="D4" s="15" t="inlineStr">
        <is>
          <t>KODEX 미국30년국채타겟커버드콜(합성H)</t>
        </is>
      </c>
      <c r="E4" s="15" t="n"/>
      <c r="F4" s="39" t="n"/>
    </row>
    <row r="5">
      <c r="B5" s="42" t="inlineStr">
        <is>
          <t>Plan</t>
        </is>
      </c>
      <c r="C5" s="37" t="inlineStr">
        <is>
          <t>투자비</t>
        </is>
      </c>
      <c r="D5" s="12" t="n">
        <v>1</v>
      </c>
      <c r="E5" s="12" t="n"/>
      <c r="F5" s="13">
        <f>SUM(D5:E5)</f>
        <v/>
      </c>
    </row>
    <row r="6">
      <c r="B6" s="38" t="n"/>
      <c r="C6" s="37" t="inlineStr">
        <is>
          <t>분할비</t>
        </is>
      </c>
      <c r="D6" s="12" t="n">
        <v>0.7</v>
      </c>
      <c r="E6" s="12" t="n"/>
      <c r="F6" s="45" t="n"/>
    </row>
    <row r="7">
      <c r="B7" s="39" t="n"/>
      <c r="C7" s="37" t="inlineStr">
        <is>
          <t>투자한도</t>
        </is>
      </c>
      <c r="D7" s="46">
        <f>Assets!$D$9*D5*D6</f>
        <v/>
      </c>
      <c r="E7" s="46">
        <f>Assets!$D$3*E5*E6</f>
        <v/>
      </c>
      <c r="F7" s="47">
        <f>SUM(D7:E7)</f>
        <v/>
      </c>
    </row>
    <row r="8">
      <c r="B8" s="40" t="inlineStr">
        <is>
          <t>Investment</t>
        </is>
      </c>
      <c r="C8" s="48" t="inlineStr">
        <is>
          <t>보유량</t>
        </is>
      </c>
      <c r="D8" s="49" t="n">
        <v>1195</v>
      </c>
      <c r="E8" s="49" t="n"/>
      <c r="F8" s="16" t="n"/>
    </row>
    <row r="9">
      <c r="B9" s="41" t="n"/>
      <c r="C9" s="51" t="inlineStr">
        <is>
          <t>평균단가</t>
        </is>
      </c>
      <c r="D9" s="52" t="n">
        <v>8061</v>
      </c>
      <c r="E9" s="52" t="n"/>
      <c r="F9" s="4" t="n"/>
    </row>
    <row r="10">
      <c r="B10" s="41" t="n"/>
      <c r="C10" s="6" t="inlineStr">
        <is>
          <t>투자금</t>
        </is>
      </c>
      <c r="D10" s="46">
        <f>D9*D8</f>
        <v/>
      </c>
      <c r="E10" s="46">
        <f>E9*E8</f>
        <v/>
      </c>
      <c r="F10" s="47">
        <f>SUM(D10:E10)</f>
        <v/>
      </c>
    </row>
    <row r="11">
      <c r="B11" s="40" t="inlineStr">
        <is>
          <t>수익</t>
        </is>
      </c>
      <c r="C11" s="37" t="inlineStr">
        <is>
          <t>현재가</t>
        </is>
      </c>
      <c r="D11" s="55" t="n">
        <v>8070</v>
      </c>
      <c r="E11" s="56" t="n"/>
      <c r="F11" s="37" t="inlineStr">
        <is>
          <t>합계</t>
        </is>
      </c>
    </row>
    <row r="12">
      <c r="B12" s="41" t="n"/>
      <c r="C12" s="6" t="inlineStr">
        <is>
          <t>수익률</t>
        </is>
      </c>
      <c r="D12" s="3">
        <f>IF(D9&gt;0, (D11-D9)/D9, 0)</f>
        <v/>
      </c>
      <c r="E12" s="3">
        <f>IF(E9&gt;0, (E11-E9)/E9, 0)</f>
        <v/>
      </c>
      <c r="F12" s="39" t="n"/>
    </row>
    <row r="13">
      <c r="B13" s="41" t="n"/>
      <c r="C13" s="37" t="inlineStr">
        <is>
          <t>수익</t>
        </is>
      </c>
      <c r="D13" s="57">
        <f>D10*D12</f>
        <v/>
      </c>
      <c r="E13" s="57">
        <f>E10*E12</f>
        <v/>
      </c>
      <c r="F13" s="47">
        <f>SUM(D13:E13)</f>
        <v/>
      </c>
    </row>
    <row r="14">
      <c r="B14" s="40" t="inlineStr">
        <is>
          <t>매매</t>
        </is>
      </c>
      <c r="C14" s="37" t="inlineStr">
        <is>
          <t>추가매수한도</t>
        </is>
      </c>
      <c r="D14" s="43">
        <f>D7-D10</f>
        <v/>
      </c>
      <c r="E14" s="43">
        <f>IF(ABS(E7*E6-E10) &lt; E11, 0,E7*E6-E10)</f>
        <v/>
      </c>
      <c r="F14" s="58">
        <f>SUM(D14:E14)</f>
        <v/>
      </c>
    </row>
    <row r="15">
      <c r="B15" s="41" t="n"/>
      <c r="C15" s="37" t="inlineStr">
        <is>
          <t>추가매수</t>
        </is>
      </c>
      <c r="D15" s="57">
        <f>IFERROR(D14/D11,0)</f>
        <v/>
      </c>
      <c r="E15" s="57">
        <f>IFERROR(E14/E11,0)</f>
        <v/>
      </c>
      <c r="F15" s="5" t="n"/>
    </row>
  </sheetData>
  <mergeCells count="7">
    <mergeCell ref="F2:F4"/>
    <mergeCell ref="B11:B13"/>
    <mergeCell ref="B8:B10"/>
    <mergeCell ref="B2:B4"/>
    <mergeCell ref="F11:F12"/>
    <mergeCell ref="B14:B15"/>
    <mergeCell ref="B5:B7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TAEHO HWANG</dc:creator>
  <dcterms:created xmlns:dcterms="http://purl.org/dc/terms/" xmlns:xsi="http://www.w3.org/2001/XMLSchema-instance" xsi:type="dcterms:W3CDTF">2020-03-30T01:06:52Z</dcterms:created>
  <dcterms:modified xmlns:dcterms="http://purl.org/dc/terms/" xmlns:xsi="http://www.w3.org/2001/XMLSchema-instance" xsi:type="dcterms:W3CDTF">2026-04-09T13:27:57Z</dcterms:modified>
  <cp:lastModifiedBy>TAEHO HWANG</cp:lastModifiedBy>
  <cp:version>1300.0100.01</cp:version>
  <cp:revision>2</cp:revision>
  <cp:lastPrinted>2026-01-22T00:39:54Z</cp:lastPrinted>
</cp:coreProperties>
</file>