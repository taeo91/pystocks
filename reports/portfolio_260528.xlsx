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Downloads\"/>
    </mc:Choice>
  </mc:AlternateContent>
  <xr:revisionPtr revIDLastSave="0" documentId="13_ncr:1_{FDBEA663-43B2-4FD6-A067-A8735F5A8815}" xr6:coauthVersionLast="47" xr6:coauthVersionMax="47" xr10:uidLastSave="{00000000-0000-0000-0000-000000000000}"/>
  <bookViews>
    <workbookView xWindow="14640" yWindow="1700" windowWidth="21480" windowHeight="16950" tabRatio="66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3" l="1"/>
  <c r="F10" i="2" l="1"/>
  <c r="E13" i="2"/>
  <c r="E10" i="2"/>
  <c r="D13" i="2"/>
  <c r="D10" i="2"/>
  <c r="H13" i="2"/>
  <c r="H10" i="2"/>
  <c r="F28" i="4"/>
  <c r="E13" i="4"/>
  <c r="D13" i="4"/>
  <c r="E10" i="4"/>
  <c r="E14" i="4" s="1"/>
  <c r="D10" i="4"/>
  <c r="F5" i="4"/>
  <c r="F28" i="3"/>
  <c r="E13" i="3"/>
  <c r="D13" i="3"/>
  <c r="E10" i="3"/>
  <c r="D10" i="3"/>
  <c r="F5" i="3"/>
  <c r="I28" i="2"/>
  <c r="G24" i="2"/>
  <c r="G13" i="2"/>
  <c r="G14" i="2" s="1"/>
  <c r="F13" i="2"/>
  <c r="G10" i="2"/>
  <c r="I5" i="2"/>
  <c r="C10" i="1"/>
  <c r="D14" i="4" l="1"/>
  <c r="F14" i="4" s="1"/>
  <c r="E14" i="3"/>
  <c r="D14" i="3"/>
  <c r="F10" i="4"/>
  <c r="D14" i="2"/>
  <c r="E14" i="2"/>
  <c r="H14" i="2"/>
  <c r="F14" i="3"/>
  <c r="I6" i="1" s="1"/>
  <c r="C6" i="1" s="1"/>
  <c r="E6" i="1" s="1"/>
  <c r="I7" i="1"/>
  <c r="C7" i="1" s="1"/>
  <c r="E7" i="1" s="1"/>
  <c r="D7" i="4" s="1"/>
  <c r="F14" i="2"/>
  <c r="F10" i="3"/>
  <c r="D11" i="3" s="1"/>
  <c r="E11" i="4"/>
  <c r="E24" i="4"/>
  <c r="I10" i="2"/>
  <c r="F11" i="2" s="1"/>
  <c r="C22" i="1"/>
  <c r="F13" i="4" l="1"/>
  <c r="F27" i="4"/>
  <c r="F7" i="1"/>
  <c r="D11" i="4"/>
  <c r="F11" i="4" s="1"/>
  <c r="I14" i="2"/>
  <c r="I5" i="1" s="1"/>
  <c r="H11" i="2"/>
  <c r="E11" i="2"/>
  <c r="I27" i="2"/>
  <c r="D11" i="2"/>
  <c r="F6" i="1"/>
  <c r="F27" i="3"/>
  <c r="E7" i="3"/>
  <c r="D7" i="3"/>
  <c r="F13" i="3"/>
  <c r="F5" i="1"/>
  <c r="F7" i="4"/>
  <c r="F16" i="4" s="1"/>
  <c r="D15" i="4"/>
  <c r="F15" i="4" s="1"/>
  <c r="D16" i="4"/>
  <c r="D24" i="4" s="1"/>
  <c r="E11" i="3"/>
  <c r="F11" i="3" s="1"/>
  <c r="G11" i="2"/>
  <c r="C16" i="1" l="1"/>
  <c r="D22" i="1" s="1"/>
  <c r="I13" i="2"/>
  <c r="C5" i="1"/>
  <c r="C19" i="1"/>
  <c r="I11" i="2"/>
  <c r="F7" i="3"/>
  <c r="F16" i="3" s="1"/>
  <c r="D16" i="3"/>
  <c r="D15" i="3"/>
  <c r="F15" i="3" s="1"/>
  <c r="D23" i="4"/>
  <c r="D25" i="4" s="1"/>
  <c r="F25" i="4" s="1"/>
  <c r="D21" i="4"/>
  <c r="D20" i="4"/>
  <c r="D19" i="4"/>
  <c r="D18" i="4"/>
  <c r="E16" i="3"/>
  <c r="E15" i="3"/>
  <c r="E20" i="3" l="1"/>
  <c r="E21" i="3"/>
  <c r="E18" i="3"/>
  <c r="E19" i="3"/>
  <c r="E23" i="3"/>
  <c r="E24" i="3"/>
  <c r="D23" i="3"/>
  <c r="D21" i="3"/>
  <c r="D20" i="3"/>
  <c r="D19" i="3"/>
  <c r="D18" i="3"/>
  <c r="D24" i="3"/>
  <c r="B19" i="1"/>
  <c r="E5" i="1"/>
  <c r="C13" i="1"/>
  <c r="B16" i="1" s="1"/>
  <c r="E7" i="2" l="1"/>
  <c r="E16" i="2" s="1"/>
  <c r="F7" i="2"/>
  <c r="D7" i="2"/>
  <c r="D16" i="2" s="1"/>
  <c r="H7" i="2"/>
  <c r="E7" i="4"/>
  <c r="G7" i="2"/>
  <c r="B10" i="1"/>
  <c r="D25" i="3"/>
  <c r="E25" i="3"/>
  <c r="E15" i="2" l="1"/>
  <c r="H16" i="2"/>
  <c r="H15" i="2"/>
  <c r="D15" i="2"/>
  <c r="G15" i="2"/>
  <c r="G16" i="2"/>
  <c r="F25" i="3"/>
  <c r="I7" i="2"/>
  <c r="I16" i="2" s="1"/>
  <c r="E15" i="4"/>
  <c r="E16" i="4"/>
  <c r="F16" i="2"/>
  <c r="F15" i="2"/>
  <c r="H24" i="2" l="1"/>
  <c r="H21" i="2"/>
  <c r="H20" i="2"/>
  <c r="H19" i="2"/>
  <c r="H18" i="2"/>
  <c r="H30" i="2" s="1"/>
  <c r="H23" i="2"/>
  <c r="H25" i="2" s="1"/>
  <c r="D21" i="2"/>
  <c r="D20" i="2"/>
  <c r="D19" i="2"/>
  <c r="D18" i="2"/>
  <c r="D30" i="2" s="1"/>
  <c r="I15" i="2"/>
  <c r="F21" i="2"/>
  <c r="F20" i="2"/>
  <c r="F19" i="2"/>
  <c r="F23" i="2"/>
  <c r="F18" i="2"/>
  <c r="F30" i="2" s="1"/>
  <c r="F24" i="2"/>
  <c r="E23" i="4"/>
  <c r="E25" i="4" s="1"/>
  <c r="E21" i="4"/>
  <c r="E20" i="4"/>
  <c r="E19" i="4"/>
  <c r="E18" i="4"/>
  <c r="D24" i="2"/>
  <c r="D23" i="2"/>
  <c r="E21" i="2"/>
  <c r="E20" i="2"/>
  <c r="E19" i="2"/>
  <c r="E18" i="2"/>
  <c r="E30" i="2" s="1"/>
  <c r="E23" i="2"/>
  <c r="E24" i="2"/>
  <c r="G20" i="2"/>
  <c r="G19" i="2"/>
  <c r="G23" i="2"/>
  <c r="G25" i="2" s="1"/>
  <c r="G18" i="2"/>
  <c r="G30" i="2" s="1"/>
  <c r="G21" i="2"/>
  <c r="D25" i="2" l="1"/>
  <c r="F25" i="2"/>
  <c r="E25" i="2"/>
  <c r="I25" i="2" l="1"/>
</calcChain>
</file>

<file path=xl/sharedStrings.xml><?xml version="1.0" encoding="utf-8"?>
<sst xmlns="http://schemas.openxmlformats.org/spreadsheetml/2006/main" count="118" uniqueCount="60">
  <si>
    <t>2026.05.06</t>
  </si>
  <si>
    <t>투자원금</t>
  </si>
  <si>
    <t>현금보유비중</t>
  </si>
  <si>
    <t>투자가능금액</t>
  </si>
  <si>
    <t>투자금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</si>
  <si>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</si>
  <si>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</si>
  <si>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</si>
  <si>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</si>
  <si>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</si>
  <si>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</si>
  <si>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</si>
  <si>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</si>
  <si>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</si>
  <si>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</si>
  <si>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ITEMs</t>
  </si>
  <si>
    <t>#</t>
  </si>
  <si>
    <t>합계</t>
  </si>
  <si>
    <t>코드</t>
  </si>
  <si>
    <t>498400</t>
  </si>
  <si>
    <t>091160</t>
  </si>
  <si>
    <t>091180</t>
  </si>
  <si>
    <t>종목</t>
  </si>
  <si>
    <t>KODEX 200타겟위클리커버드콜</t>
  </si>
  <si>
    <t>KODEX 반도체</t>
  </si>
  <si>
    <t>KODEX 자동차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</si>
  <si>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</si>
  <si>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</si>
  <si>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</si>
  <si>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</si>
  <si>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</si>
  <si>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</si>
  <si>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</si>
  <si>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비중</t>
  </si>
  <si>
    <t>매매</t>
  </si>
  <si>
    <t>현재가</t>
  </si>
  <si>
    <t>수익률</t>
  </si>
  <si>
    <t>수익</t>
  </si>
  <si>
    <t>추가매수</t>
  </si>
  <si>
    <t>LONG/SHORT</t>
  </si>
  <si>
    <t>목표</t>
  </si>
  <si>
    <t>목표수량</t>
  </si>
  <si>
    <t>투자금 목표</t>
  </si>
  <si>
    <t>목표평단가</t>
  </si>
  <si>
    <t>배당,분배</t>
  </si>
  <si>
    <t>지급일일</t>
  </si>
  <si>
    <t>금액(세후)</t>
  </si>
  <si>
    <t>494300</t>
  </si>
  <si>
    <t>381180</t>
  </si>
  <si>
    <t>KODEX 미국나스닥100데일리커버드콜OTM</t>
  </si>
  <si>
    <t>TIGER 미국필라델피아반도체나스닥</t>
  </si>
  <si>
    <t>Plane</t>
  </si>
  <si>
    <t>투자한도</t>
  </si>
  <si>
    <t>매수한도</t>
  </si>
  <si>
    <t>목표투자금</t>
  </si>
  <si>
    <t>481060</t>
  </si>
  <si>
    <t>KODEX 미국30년국채타겟커버드콜</t>
  </si>
  <si>
    <t>487240</t>
    <phoneticPr fontId="4" type="noConversion"/>
  </si>
  <si>
    <t>KODEX AI전력핵심설비</t>
    <phoneticPr fontId="4" type="noConversion"/>
  </si>
  <si>
    <t>차익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</si>
</sst>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63">
    <xf numFmtId="0" fontId="0" fillId="0" borderId="0" xfId="0" applyAlignment="1">
      <alignment vertical="center"/>
    </xf>
    <xf numFmtId="9" fontId="0" fillId="0" borderId="1" xfId="0" applyNumberFormat="1" applyBorder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0" fontId="0" fillId="0" borderId="1" xfId="0" applyBorder="1" applyAlignment="1"/>
    <xf numFmtId="17" fontId="0" fillId="0" borderId="0" xfId="0" applyNumberFormat="1" applyAlignment="1"/>
    <xf numFmtId="9" fontId="3" fillId="0" borderId="1" xfId="1" applyBorder="1" applyAlignment="1">
      <alignment vertical="center"/>
    </xf>
    <xf numFmtId="10" fontId="3" fillId="0" borderId="1" xfId="1" applyNumberFormat="1" applyBorder="1" applyAlignment="1">
      <alignment vertical="center"/>
    </xf>
    <xf numFmtId="10" fontId="3" fillId="0" borderId="0" xfId="1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0" xfId="0" applyNumberFormat="1" applyFont="1" applyAlignment="1">
      <alignment vertical="center"/>
    </xf>
    <xf numFmtId="41" fontId="2" fillId="0" borderId="0" xfId="0" applyNumberFormat="1" applyFont="1" applyAlignment="1"/>
    <xf numFmtId="176" fontId="2" fillId="2" borderId="1" xfId="1" applyNumberFormat="1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3" fillId="0" borderId="1" xfId="0" applyNumberFormat="1" applyFont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176" fontId="3" fillId="0" borderId="1" xfId="1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41" fontId="9" fillId="2" borderId="1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0" xfId="2" applyFont="1" applyAlignment="1">
      <alignment vertical="center"/>
    </xf>
    <xf numFmtId="41" fontId="3" fillId="0" borderId="1" xfId="2" applyBorder="1" applyAlignment="1">
      <alignment horizontal="center" vertical="center"/>
    </xf>
    <xf numFmtId="41" fontId="0" fillId="0" borderId="1" xfId="0" applyNumberFormat="1" applyBorder="1" applyAlignment="1">
      <alignment vertical="center"/>
    </xf>
    <xf numFmtId="41" fontId="3" fillId="0" borderId="8" xfId="2" applyBorder="1" applyAlignment="1">
      <alignment vertical="center"/>
    </xf>
    <xf numFmtId="41" fontId="0" fillId="0" borderId="1" xfId="0" applyNumberFormat="1" applyBorder="1" applyAlignment="1"/>
    <xf numFmtId="41" fontId="3" fillId="0" borderId="0" xfId="2" applyAlignment="1">
      <alignment vertical="center"/>
    </xf>
    <xf numFmtId="41" fontId="0" fillId="0" borderId="1" xfId="2" applyFont="1" applyBorder="1" applyAlignment="1">
      <alignment vertical="center"/>
    </xf>
    <xf numFmtId="41" fontId="8" fillId="2" borderId="1" xfId="2" applyFont="1" applyFill="1" applyBorder="1" applyAlignment="1">
      <alignment vertical="center"/>
    </xf>
    <xf numFmtId="41" fontId="7" fillId="4" borderId="7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41" fontId="7" fillId="4" borderId="1" xfId="2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1" fontId="7" fillId="4" borderId="4" xfId="2" applyFont="1" applyFill="1" applyBorder="1" applyAlignment="1">
      <alignment horizontal="center" vertical="center"/>
    </xf>
    <xf numFmtId="41" fontId="7" fillId="4" borderId="5" xfId="2" applyFont="1" applyFill="1" applyBorder="1" applyAlignment="1">
      <alignment horizontal="center" vertical="center"/>
    </xf>
    <xf numFmtId="0" fontId="0" fillId="0" borderId="6" xfId="0" applyBorder="1" applyAlignment="1"/>
    <xf numFmtId="41" fontId="2" fillId="2" borderId="1" xfId="2" applyFont="1" applyFill="1" applyBorder="1">
      <alignment vertical="center"/>
    </xf>
    <xf numFmtId="41" fontId="8" fillId="2" borderId="1" xfId="2" applyFont="1" applyFill="1" applyBorder="1">
      <alignment vertical="center"/>
    </xf>
    <xf numFmtId="176" fontId="2" fillId="2" borderId="1" xfId="1" applyNumberFormat="1" applyFont="1" applyFill="1" applyBorder="1">
      <alignment vertical="center"/>
    </xf>
    <xf numFmtId="41" fontId="3" fillId="0" borderId="0" xfId="2">
      <alignment vertical="center"/>
    </xf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3"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F33" sqref="F33"/>
    </sheetView>
  </sheetViews>
  <sheetFormatPr defaultRowHeight="17" x14ac:dyDescent="0.45"/>
  <cols>
    <col min="2" max="2" width="14.25" style="22" bestFit="1" customWidth="1"/>
    <col min="3" max="3" width="17.4140625" style="22" customWidth="1"/>
    <col min="4" max="4" width="15.58203125" style="22" bestFit="1" customWidth="1"/>
    <col min="5" max="5" width="15.58203125" style="22" customWidth="1"/>
    <col min="6" max="7" width="14.25" style="22" bestFit="1" customWidth="1"/>
    <col min="8" max="8" width="14.25" style="22" customWidth="1"/>
    <col min="9" max="9" width="11.25" style="22" customWidth="1"/>
    <col min="10" max="10" width="5.4140625" style="22" customWidth="1"/>
  </cols>
  <sheetData>
    <row r="1" spans="1:11" s="21" customFormat="1" x14ac:dyDescent="0.45"/>
    <row r="2" spans="1:11" x14ac:dyDescent="0.45">
      <c r="B2" s="3" t="s">
        <v>0</v>
      </c>
    </row>
    <row r="3" spans="1:11" s="21" customFormat="1" x14ac:dyDescent="0.45">
      <c r="B3" s="3"/>
    </row>
    <row r="4" spans="1:11" x14ac:dyDescent="0.45">
      <c r="B4" s="6"/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K4" s="13" t="s">
        <v>8</v>
      </c>
    </row>
    <row r="5" spans="1:11" x14ac:dyDescent="0.45">
      <c r="B5" s="4" t="s">
        <v>9</v>
      </c>
      <c r="C5" s="24">
        <f>G5-I5</f>
        <v>1194771396</v>
      </c>
      <c r="D5" s="1">
        <v>0</v>
      </c>
      <c r="E5" s="24">
        <f>C5*(1-D5)</f>
        <v>1194771396</v>
      </c>
      <c r="F5" s="24">
        <f>CMA!I10</f>
        <v>270215212</v>
      </c>
      <c r="G5" s="25">
        <v>1285263124</v>
      </c>
      <c r="H5" s="25"/>
      <c r="I5" s="26">
        <f>CMA!I14</f>
        <v>90491728</v>
      </c>
      <c r="K5" s="18">
        <v>0.4</v>
      </c>
    </row>
    <row r="6" spans="1:11" x14ac:dyDescent="0.45">
      <c r="B6" s="4" t="s">
        <v>10</v>
      </c>
      <c r="C6" s="24">
        <f>G6-I6</f>
        <v>123930727</v>
      </c>
      <c r="D6" s="1">
        <v>0</v>
      </c>
      <c r="E6" s="24">
        <f>C6*(1-D6)</f>
        <v>123930727</v>
      </c>
      <c r="F6" s="24">
        <f>개인연금!F10</f>
        <v>98536896</v>
      </c>
      <c r="G6" s="25">
        <v>133772341</v>
      </c>
      <c r="H6" s="25">
        <v>0</v>
      </c>
      <c r="I6" s="26">
        <f>개인연금!F14+H6</f>
        <v>9841614</v>
      </c>
      <c r="K6" s="18">
        <v>0.3</v>
      </c>
    </row>
    <row r="7" spans="1:11" x14ac:dyDescent="0.45">
      <c r="B7" s="4" t="s">
        <v>11</v>
      </c>
      <c r="C7" s="24">
        <f>G7-I7</f>
        <v>13653790</v>
      </c>
      <c r="D7" s="1">
        <v>0</v>
      </c>
      <c r="E7" s="24">
        <f>C7*(1-D7)</f>
        <v>13653790</v>
      </c>
      <c r="F7" s="24">
        <f>퇴직연금!F10</f>
        <v>13613677</v>
      </c>
      <c r="G7" s="25">
        <v>13756508</v>
      </c>
      <c r="H7" s="25">
        <v>0</v>
      </c>
      <c r="I7" s="26">
        <f>퇴직연금!F14+H7</f>
        <v>102718</v>
      </c>
      <c r="K7" s="18">
        <v>0.2</v>
      </c>
    </row>
    <row r="8" spans="1:11" x14ac:dyDescent="0.45">
      <c r="F8" s="27"/>
      <c r="K8" s="18">
        <v>0.1</v>
      </c>
    </row>
    <row r="9" spans="1:11" x14ac:dyDescent="0.45">
      <c r="B9" s="48" t="s">
        <v>12</v>
      </c>
      <c r="C9" s="50"/>
    </row>
    <row r="10" spans="1:11" x14ac:dyDescent="0.45">
      <c r="A10" s="21"/>
      <c r="B10" s="20">
        <f>C19/C13</f>
        <v>7.5382305148369161E-2</v>
      </c>
      <c r="C10" s="28">
        <f>SUM(G5,G6,G7)</f>
        <v>1432791973</v>
      </c>
    </row>
    <row r="12" spans="1:11" x14ac:dyDescent="0.45">
      <c r="A12" s="21"/>
      <c r="B12" s="48" t="s">
        <v>13</v>
      </c>
      <c r="C12" s="50"/>
    </row>
    <row r="13" spans="1:11" s="21" customFormat="1" x14ac:dyDescent="0.45">
      <c r="B13" s="2"/>
      <c r="C13" s="28">
        <f>SUM(C5,C6,C7)</f>
        <v>1332355913</v>
      </c>
    </row>
    <row r="14" spans="1:11" x14ac:dyDescent="0.45">
      <c r="A14" s="21"/>
    </row>
    <row r="15" spans="1:11" s="21" customFormat="1" x14ac:dyDescent="0.45">
      <c r="B15" s="48" t="s">
        <v>4</v>
      </c>
      <c r="C15" s="49"/>
    </row>
    <row r="16" spans="1:11" s="21" customFormat="1" x14ac:dyDescent="0.45">
      <c r="B16" s="20">
        <f>C16/C13</f>
        <v>0.28698471727351427</v>
      </c>
      <c r="C16" s="29">
        <f>SUM(F5:F7)</f>
        <v>382365785</v>
      </c>
    </row>
    <row r="17" spans="2:4" s="21" customFormat="1" x14ac:dyDescent="0.45"/>
    <row r="18" spans="2:4" s="21" customFormat="1" x14ac:dyDescent="0.45">
      <c r="B18" s="48" t="s">
        <v>59</v>
      </c>
      <c r="C18" s="49"/>
    </row>
    <row r="19" spans="2:4" s="21" customFormat="1" x14ac:dyDescent="0.45">
      <c r="B19" s="20">
        <f>C19/C16</f>
        <v>0.26267010266098995</v>
      </c>
      <c r="C19" s="28">
        <f>SUM(I5,I6,I7)</f>
        <v>100436060</v>
      </c>
    </row>
    <row r="20" spans="2:4" s="21" customFormat="1" x14ac:dyDescent="0.45"/>
    <row r="21" spans="2:4" s="21" customFormat="1" x14ac:dyDescent="0.45">
      <c r="B21" s="48" t="s">
        <v>14</v>
      </c>
      <c r="C21" s="49"/>
      <c r="D21" s="49"/>
    </row>
    <row r="22" spans="2:4" s="21" customFormat="1" x14ac:dyDescent="0.45">
      <c r="B22" s="17">
        <v>46143</v>
      </c>
      <c r="C22" s="29">
        <f>CMA!I28+개인연금!F28+퇴직연금!F28</f>
        <v>4261901</v>
      </c>
      <c r="D22" s="20">
        <f>C22/C16</f>
        <v>1.11461358918398E-2</v>
      </c>
    </row>
    <row r="23" spans="2:4" s="21" customFormat="1" x14ac:dyDescent="0.45"/>
  </sheetData>
  <mergeCells count="5">
    <mergeCell ref="B15:C15"/>
    <mergeCell ref="B21:D21"/>
    <mergeCell ref="B9:C9"/>
    <mergeCell ref="B18:C18"/>
    <mergeCell ref="B12:C12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workbookViewId="0">
      <selection activeCell="D35" sqref="D35"/>
    </sheetView>
  </sheetViews>
  <sheetFormatPr defaultRowHeight="17" x14ac:dyDescent="0.45"/>
  <cols>
    <col min="1" max="1" width="3.33203125" style="22" customWidth="1"/>
    <col min="2" max="2" width="11" style="22" bestFit="1" customWidth="1"/>
    <col min="3" max="3" width="13" style="22" bestFit="1" customWidth="1"/>
    <col min="4" max="4" width="28.9140625" style="22" customWidth="1"/>
    <col min="5" max="5" width="29.1640625" style="22" bestFit="1" customWidth="1"/>
    <col min="6" max="6" width="23.5" style="22" customWidth="1"/>
    <col min="7" max="7" width="23" style="22" customWidth="1"/>
    <col min="8" max="8" width="20.83203125" style="22" customWidth="1"/>
    <col min="9" max="9" width="13.83203125" style="22" bestFit="1" customWidth="1"/>
  </cols>
  <sheetData>
    <row r="1" spans="2:9" ht="17.5" customHeight="1" x14ac:dyDescent="0.45"/>
    <row r="2" spans="2:9" x14ac:dyDescent="0.45">
      <c r="B2" s="55" t="s">
        <v>15</v>
      </c>
      <c r="C2" s="6" t="s">
        <v>16</v>
      </c>
      <c r="D2" s="5">
        <v>1</v>
      </c>
      <c r="E2" s="5">
        <v>2</v>
      </c>
      <c r="F2" s="5">
        <v>3</v>
      </c>
      <c r="G2" s="5">
        <v>4</v>
      </c>
      <c r="H2" s="5">
        <v>5</v>
      </c>
      <c r="I2" s="51" t="s">
        <v>17</v>
      </c>
    </row>
    <row r="3" spans="2:9" x14ac:dyDescent="0.45">
      <c r="B3" s="52"/>
      <c r="C3" s="6" t="s">
        <v>18</v>
      </c>
      <c r="D3" s="11" t="s">
        <v>19</v>
      </c>
      <c r="E3" s="12" t="s">
        <v>20</v>
      </c>
      <c r="F3" s="11" t="s">
        <v>21</v>
      </c>
      <c r="G3" s="11" t="s">
        <v>57</v>
      </c>
      <c r="H3" s="11"/>
      <c r="I3" s="52"/>
    </row>
    <row r="4" spans="2:9" ht="17.5" customHeight="1" x14ac:dyDescent="0.45">
      <c r="B4" s="53"/>
      <c r="C4" s="6" t="s">
        <v>22</v>
      </c>
      <c r="D4" s="7" t="s">
        <v>23</v>
      </c>
      <c r="E4" s="7" t="s">
        <v>24</v>
      </c>
      <c r="F4" s="7" t="s">
        <v>25</v>
      </c>
      <c r="G4" s="7" t="s">
        <v>58</v>
      </c>
      <c r="H4" s="7"/>
      <c r="I4" s="53"/>
    </row>
    <row r="5" spans="2:9" x14ac:dyDescent="0.45">
      <c r="B5" s="55" t="s">
        <v>26</v>
      </c>
      <c r="C5" s="23" t="s">
        <v>27</v>
      </c>
      <c r="D5" s="30">
        <v>0.4</v>
      </c>
      <c r="E5" s="30">
        <v>0.3</v>
      </c>
      <c r="F5" s="30">
        <v>0.2</v>
      </c>
      <c r="G5" s="30">
        <v>0.1</v>
      </c>
      <c r="H5" s="30"/>
      <c r="I5" s="18">
        <f>SUM(D5:H5)</f>
        <v>0.99999999999999989</v>
      </c>
    </row>
    <row r="6" spans="2:9" ht="17.5" customHeight="1" x14ac:dyDescent="0.45">
      <c r="B6" s="52"/>
      <c r="C6" s="23" t="s">
        <v>28</v>
      </c>
      <c r="D6" s="30">
        <v>0.4</v>
      </c>
      <c r="E6" s="30">
        <v>0.4</v>
      </c>
      <c r="F6" s="30">
        <v>0.1</v>
      </c>
      <c r="G6" s="30">
        <v>0.1</v>
      </c>
      <c r="H6" s="30"/>
      <c r="I6" s="18"/>
    </row>
    <row r="7" spans="2:9" ht="17.5" customHeight="1" x14ac:dyDescent="0.45">
      <c r="B7" s="53"/>
      <c r="C7" s="23" t="s">
        <v>29</v>
      </c>
      <c r="D7" s="31">
        <f>Assets!$E$5*(D5)*D6</f>
        <v>191163423.36000001</v>
      </c>
      <c r="E7" s="31">
        <f>Assets!$E$5*(E5)*E6</f>
        <v>143372567.52000001</v>
      </c>
      <c r="F7" s="31">
        <f>Assets!$E$5*(F5)*F6</f>
        <v>23895427.920000002</v>
      </c>
      <c r="G7" s="31">
        <f>Assets!$E$5*(G5)*G6</f>
        <v>11947713.960000001</v>
      </c>
      <c r="H7" s="31">
        <f>Assets!$E$5*(H5)*H6</f>
        <v>0</v>
      </c>
      <c r="I7" s="32">
        <f>SUM(D7:G7)</f>
        <v>370379132.75999999</v>
      </c>
    </row>
    <row r="8" spans="2:9" s="21" customFormat="1" ht="17.5" customHeight="1" x14ac:dyDescent="0.45">
      <c r="B8" s="55" t="s">
        <v>30</v>
      </c>
      <c r="C8" s="33" t="s">
        <v>31</v>
      </c>
      <c r="D8" s="59">
        <v>8597</v>
      </c>
      <c r="E8" s="59">
        <v>874</v>
      </c>
      <c r="F8" s="34"/>
      <c r="G8" s="34"/>
      <c r="H8" s="34"/>
      <c r="I8" s="8"/>
    </row>
    <row r="9" spans="2:9" s="21" customFormat="1" ht="17.5" customHeight="1" x14ac:dyDescent="0.45">
      <c r="B9" s="52"/>
      <c r="C9" s="33" t="s">
        <v>32</v>
      </c>
      <c r="D9" s="59">
        <v>19902</v>
      </c>
      <c r="E9" s="59">
        <v>113407</v>
      </c>
      <c r="F9" s="34"/>
      <c r="G9" s="34"/>
      <c r="H9" s="34"/>
      <c r="I9" s="8"/>
    </row>
    <row r="10" spans="2:9" ht="17.5" customHeight="1" x14ac:dyDescent="0.45">
      <c r="B10" s="52"/>
      <c r="C10" s="6" t="s">
        <v>4</v>
      </c>
      <c r="D10" s="31">
        <f>D9*D8</f>
        <v>171097494</v>
      </c>
      <c r="E10" s="31">
        <f>E9*E8</f>
        <v>99117718</v>
      </c>
      <c r="F10" s="31">
        <f>F9*F8</f>
        <v>0</v>
      </c>
      <c r="G10" s="31">
        <f>G9*G8</f>
        <v>0</v>
      </c>
      <c r="H10" s="31">
        <f>H9*H8</f>
        <v>0</v>
      </c>
      <c r="I10" s="35">
        <f>SUM(D10:G10)</f>
        <v>270215212</v>
      </c>
    </row>
    <row r="11" spans="2:9" ht="17.5" customHeight="1" x14ac:dyDescent="0.45">
      <c r="B11" s="53"/>
      <c r="C11" s="23" t="s">
        <v>33</v>
      </c>
      <c r="D11" s="36">
        <f>D10/$I$10</f>
        <v>0.63318971842340244</v>
      </c>
      <c r="E11" s="36">
        <f>E10/$I$10</f>
        <v>0.36681028157659756</v>
      </c>
      <c r="F11" s="36">
        <f>F10/$I$10</f>
        <v>0</v>
      </c>
      <c r="G11" s="36">
        <f>G10/$I$10</f>
        <v>0</v>
      </c>
      <c r="H11" s="36">
        <f>H10/$I$10</f>
        <v>0</v>
      </c>
      <c r="I11" s="37">
        <f>SUM(D11:G11)</f>
        <v>1</v>
      </c>
    </row>
    <row r="12" spans="2:9" x14ac:dyDescent="0.45">
      <c r="B12" s="56" t="s">
        <v>34</v>
      </c>
      <c r="C12" s="23" t="s">
        <v>35</v>
      </c>
      <c r="D12" s="60">
        <v>25620</v>
      </c>
      <c r="E12" s="60">
        <v>160700</v>
      </c>
      <c r="F12" s="38">
        <v>33770</v>
      </c>
      <c r="G12" s="38"/>
      <c r="H12" s="38"/>
      <c r="I12" s="23"/>
    </row>
    <row r="13" spans="2:9" x14ac:dyDescent="0.45">
      <c r="B13" s="50"/>
      <c r="C13" s="6" t="s">
        <v>36</v>
      </c>
      <c r="D13" s="9">
        <f>IF(D9&gt;0, (D12-D9)/D9, 0)</f>
        <v>0.28730780826047636</v>
      </c>
      <c r="E13" s="9">
        <f>IF(E9&gt;0, (E12-E9)/E9, 0)</f>
        <v>0.41702011339688028</v>
      </c>
      <c r="F13" s="9">
        <f>IF(F9&gt;0, (F12-F9)/F9, 0)</f>
        <v>0</v>
      </c>
      <c r="G13" s="9">
        <f>IF(G9&gt;0, (G12-G9)/G9, 0)</f>
        <v>0</v>
      </c>
      <c r="H13" s="9">
        <f>IF(H9&gt;0, (H12-H9)/H9, 0)</f>
        <v>0</v>
      </c>
      <c r="I13" s="9">
        <f>I14/I10</f>
        <v>0.33488761543151019</v>
      </c>
    </row>
    <row r="14" spans="2:9" x14ac:dyDescent="0.45">
      <c r="B14" s="50"/>
      <c r="C14" s="23" t="s">
        <v>37</v>
      </c>
      <c r="D14" s="39">
        <f>D10*D13</f>
        <v>49157646.000000007</v>
      </c>
      <c r="E14" s="39">
        <f>E10*E13</f>
        <v>41334082</v>
      </c>
      <c r="F14" s="39">
        <f>F10*F13</f>
        <v>0</v>
      </c>
      <c r="G14" s="39">
        <f>G10*G13</f>
        <v>0</v>
      </c>
      <c r="H14" s="39">
        <f>H10*H13</f>
        <v>0</v>
      </c>
      <c r="I14" s="39">
        <f>SUM(D14:G14)</f>
        <v>90491728</v>
      </c>
    </row>
    <row r="15" spans="2:9" x14ac:dyDescent="0.45">
      <c r="B15" s="50"/>
      <c r="C15" s="23" t="s">
        <v>34</v>
      </c>
      <c r="D15" s="39">
        <f>D7-D10</f>
        <v>20065929.360000014</v>
      </c>
      <c r="E15" s="39">
        <f>E7-E10</f>
        <v>44254849.520000011</v>
      </c>
      <c r="F15" s="39">
        <f>F7-F10</f>
        <v>23895427.920000002</v>
      </c>
      <c r="G15" s="39">
        <f>G7-G10</f>
        <v>11947713.960000001</v>
      </c>
      <c r="H15" s="39">
        <f>H7-H10</f>
        <v>0</v>
      </c>
      <c r="I15" s="24">
        <f>SUM(D15:G15)</f>
        <v>100163920.76000002</v>
      </c>
    </row>
    <row r="16" spans="2:9" ht="17.5" customHeight="1" x14ac:dyDescent="0.45">
      <c r="B16" s="50"/>
      <c r="C16" s="23" t="s">
        <v>38</v>
      </c>
      <c r="D16" s="24">
        <f t="shared" ref="D16:E16" si="0">IFERROR((D7-D10)/D12, 0)</f>
        <v>783.21348009367739</v>
      </c>
      <c r="E16" s="24">
        <f t="shared" si="0"/>
        <v>275.38798705662731</v>
      </c>
      <c r="F16" s="24">
        <f t="shared" ref="F16:I16" si="1">IFERROR((F7-F10)/F12, 0)</f>
        <v>707.5933645247261</v>
      </c>
      <c r="G16" s="24">
        <f t="shared" si="1"/>
        <v>0</v>
      </c>
      <c r="H16" s="24">
        <f t="shared" ref="H16" si="2">IFERROR((H7-H10)/H12, 0)</f>
        <v>0</v>
      </c>
      <c r="I16" s="39">
        <f t="shared" si="1"/>
        <v>0</v>
      </c>
    </row>
    <row r="17" spans="2:9" s="21" customFormat="1" ht="17.5" customHeight="1" x14ac:dyDescent="0.45">
      <c r="B17" s="49"/>
      <c r="C17" s="23" t="s">
        <v>39</v>
      </c>
      <c r="D17" s="34">
        <v>1</v>
      </c>
      <c r="E17" s="34">
        <v>1</v>
      </c>
      <c r="F17" s="34">
        <v>1</v>
      </c>
      <c r="G17" s="34">
        <v>1</v>
      </c>
      <c r="H17" s="34">
        <v>1</v>
      </c>
      <c r="I17" s="39"/>
    </row>
    <row r="18" spans="2:9" s="21" customFormat="1" ht="17.5" customHeight="1" x14ac:dyDescent="0.45">
      <c r="B18" s="49"/>
      <c r="C18" s="14">
        <v>0.4</v>
      </c>
      <c r="D18" s="24">
        <f>IF(D$17=1, D$16*Assets!$K5, -D$8*Assets!$K5)</f>
        <v>313.28539203747096</v>
      </c>
      <c r="E18" s="24">
        <f>IF(E$17=1, E$16*Assets!$K5, -E$8*Assets!$K5)</f>
        <v>110.15519482265093</v>
      </c>
      <c r="F18" s="24">
        <f>IF(F$17=1, F$16*Assets!$K5, -F$8*Assets!$K5)</f>
        <v>283.03734580989044</v>
      </c>
      <c r="G18" s="24">
        <f>IF(G$17=1, G$16*Assets!$K5, -G$8*Assets!$K5)</f>
        <v>0</v>
      </c>
      <c r="H18" s="24">
        <f>IF(H$17=1, H$16*Assets!$K5, -H$8*Assets!$K5)</f>
        <v>0</v>
      </c>
      <c r="I18" s="39"/>
    </row>
    <row r="19" spans="2:9" s="21" customFormat="1" ht="17.5" customHeight="1" x14ac:dyDescent="0.45">
      <c r="B19" s="49"/>
      <c r="C19" s="14">
        <v>0.3</v>
      </c>
      <c r="D19" s="24">
        <f>IF(D$17=1, D$16*Assets!$K6, -D$8*Assets!$K6)</f>
        <v>234.96404402810322</v>
      </c>
      <c r="E19" s="24">
        <f>IF(E$17=1, E$16*Assets!$K6, -E$8*Assets!$K6)</f>
        <v>82.616396116988184</v>
      </c>
      <c r="F19" s="24">
        <f>IF(F$17=1, F$16*Assets!$K6, -F$8*Assets!$K6)</f>
        <v>212.27800935741783</v>
      </c>
      <c r="G19" s="24">
        <f>IF(G$17=1, G$16*Assets!$K6, -G$8*Assets!$K6)</f>
        <v>0</v>
      </c>
      <c r="H19" s="24">
        <f>IF(H$17=1, H$16*Assets!$K6, -H$8*Assets!$K6)</f>
        <v>0</v>
      </c>
      <c r="I19" s="39"/>
    </row>
    <row r="20" spans="2:9" s="21" customFormat="1" ht="17.5" customHeight="1" x14ac:dyDescent="0.45">
      <c r="B20" s="49"/>
      <c r="C20" s="14">
        <v>0.2</v>
      </c>
      <c r="D20" s="24">
        <f>IF(D$17=1, D$16*Assets!$K7, -D$8*Assets!$K7)</f>
        <v>156.64269601873548</v>
      </c>
      <c r="E20" s="24">
        <f>IF(E$17=1, E$16*Assets!$K7, -E$8*Assets!$K7)</f>
        <v>55.077597411325463</v>
      </c>
      <c r="F20" s="24">
        <f>IF(F$17=1, F$16*Assets!$K7, -F$8*Assets!$K7)</f>
        <v>141.51867290494522</v>
      </c>
      <c r="G20" s="24">
        <f>IF(G$17=1, G$16*Assets!$K7, -G$8*Assets!$K7)</f>
        <v>0</v>
      </c>
      <c r="H20" s="24">
        <f>IF(H$17=1, H$16*Assets!$K7, -H$8*Assets!$K7)</f>
        <v>0</v>
      </c>
      <c r="I20" s="39"/>
    </row>
    <row r="21" spans="2:9" s="21" customFormat="1" ht="17.5" customHeight="1" x14ac:dyDescent="0.45">
      <c r="B21" s="49"/>
      <c r="C21" s="14">
        <v>0.1</v>
      </c>
      <c r="D21" s="24">
        <f>IF(D$17=1, D$16*Assets!$K8, -D$8*Assets!$K8)</f>
        <v>78.321348009367739</v>
      </c>
      <c r="E21" s="24">
        <f>IF(E$17=1, E$16*Assets!$K8, -E$8*Assets!$K8)</f>
        <v>27.538798705662732</v>
      </c>
      <c r="F21" s="24">
        <f>IF(F$17=1, F$16*Assets!$K8, -F$8*Assets!$K8)</f>
        <v>70.75933645247261</v>
      </c>
      <c r="G21" s="24">
        <f>IF(G$17=1, G$16*Assets!$K8, -G$8*Assets!$K8)</f>
        <v>0</v>
      </c>
      <c r="H21" s="24">
        <f>IF(H$17=1, H$16*Assets!$K8, -H$8*Assets!$K8)</f>
        <v>0</v>
      </c>
      <c r="I21" s="39"/>
    </row>
    <row r="22" spans="2:9" s="21" customFormat="1" ht="17.5" customHeight="1" x14ac:dyDescent="0.45">
      <c r="C22" s="10"/>
      <c r="D22" s="40"/>
      <c r="E22" s="40"/>
      <c r="F22" s="40"/>
      <c r="G22" s="40"/>
      <c r="H22" s="40"/>
      <c r="I22" s="40"/>
    </row>
    <row r="23" spans="2:9" x14ac:dyDescent="0.45">
      <c r="B23" s="54" t="s">
        <v>40</v>
      </c>
      <c r="C23" s="6" t="s">
        <v>41</v>
      </c>
      <c r="D23" s="31">
        <f>D8+D16</f>
        <v>9380.2134800936765</v>
      </c>
      <c r="E23" s="31">
        <f>E8+E16</f>
        <v>1149.3879870566273</v>
      </c>
      <c r="F23" s="31">
        <f>F8+F16</f>
        <v>707.5933645247261</v>
      </c>
      <c r="G23" s="31">
        <f>G8+G16</f>
        <v>0</v>
      </c>
      <c r="H23" s="31">
        <f>H8+H16</f>
        <v>0</v>
      </c>
      <c r="I23" s="51" t="s">
        <v>42</v>
      </c>
    </row>
    <row r="24" spans="2:9" x14ac:dyDescent="0.45">
      <c r="B24" s="52"/>
      <c r="C24" s="6" t="s">
        <v>43</v>
      </c>
      <c r="D24" s="41">
        <f>IF(D10&gt;0,(((D8*D9)+(D16*D12))/(D8+D16)),0)</f>
        <v>20379.432063639018</v>
      </c>
      <c r="E24" s="41">
        <f>IF(E10&gt;0,(((E8*E9)+(E16*E12))/(E8+E16)),0)</f>
        <v>124738.18165365637</v>
      </c>
      <c r="F24" s="41">
        <f>IF(F10&gt;0,(((F8*F9)+(F16*F12))/(F8+F16)),0)</f>
        <v>0</v>
      </c>
      <c r="G24" s="41">
        <f>IF(G10&gt;0,(((G8*G9)+(G16*G12))/(G8+G16)),0)</f>
        <v>0</v>
      </c>
      <c r="H24" s="41">
        <f>IF(H10&gt;0,(((H8*H9)+(H16*H12))/(H8+H16)),0)</f>
        <v>0</v>
      </c>
      <c r="I24" s="53"/>
    </row>
    <row r="25" spans="2:9" ht="17.5" customHeight="1" x14ac:dyDescent="0.45">
      <c r="B25" s="53"/>
      <c r="C25" s="6" t="s">
        <v>4</v>
      </c>
      <c r="D25" s="24">
        <f>D23*D24</f>
        <v>191163423.36000001</v>
      </c>
      <c r="E25" s="24">
        <f>E23*E24</f>
        <v>143372567.52000001</v>
      </c>
      <c r="F25" s="24">
        <f>F23*F24</f>
        <v>0</v>
      </c>
      <c r="G25" s="24">
        <f>G23*G24</f>
        <v>0</v>
      </c>
      <c r="H25" s="24">
        <f>H23*H24</f>
        <v>0</v>
      </c>
      <c r="I25" s="42">
        <f>SUM(D25:G25)</f>
        <v>334535990.88</v>
      </c>
    </row>
    <row r="27" spans="2:9" x14ac:dyDescent="0.45">
      <c r="B27" s="54" t="s">
        <v>44</v>
      </c>
      <c r="C27" s="23" t="s">
        <v>45</v>
      </c>
      <c r="D27" s="15">
        <v>46161</v>
      </c>
      <c r="E27" s="15">
        <v>46148</v>
      </c>
      <c r="F27" s="16"/>
      <c r="G27" s="16"/>
      <c r="H27" s="16"/>
      <c r="I27" s="19">
        <f>I28/I$10</f>
        <v>9.8070163422183648E-3</v>
      </c>
    </row>
    <row r="28" spans="2:9" x14ac:dyDescent="0.45">
      <c r="B28" s="53"/>
      <c r="C28" s="23" t="s">
        <v>46</v>
      </c>
      <c r="D28" s="24">
        <v>2549100</v>
      </c>
      <c r="E28" s="43">
        <v>100905</v>
      </c>
      <c r="F28" s="43"/>
      <c r="G28" s="43"/>
      <c r="H28" s="43"/>
      <c r="I28" s="44">
        <f>SUM(D28:H28)</f>
        <v>2650005</v>
      </c>
    </row>
    <row r="30" spans="2:9" x14ac:dyDescent="0.45">
      <c r="D30" s="45">
        <f>D18*D12</f>
        <v>8026371.7440000055</v>
      </c>
      <c r="E30" s="45">
        <f>E18*E12</f>
        <v>17701939.808000006</v>
      </c>
      <c r="F30" s="45">
        <f>F18*F12</f>
        <v>9558171.1679999996</v>
      </c>
      <c r="G30" s="45">
        <f>G18*G12</f>
        <v>0</v>
      </c>
      <c r="H30" s="45">
        <f>H18*H12</f>
        <v>0</v>
      </c>
    </row>
    <row r="32" spans="2:9" x14ac:dyDescent="0.45">
      <c r="E32" s="2"/>
    </row>
  </sheetData>
  <mergeCells count="8">
    <mergeCell ref="I2:I4"/>
    <mergeCell ref="B27:B28"/>
    <mergeCell ref="B23:B25"/>
    <mergeCell ref="B8:B11"/>
    <mergeCell ref="B12:B21"/>
    <mergeCell ref="I23:I24"/>
    <mergeCell ref="B2:B4"/>
    <mergeCell ref="B5:B7"/>
  </mergeCells>
  <phoneticPr fontId="4" type="noConversion"/>
  <conditionalFormatting sqref="D16:D17">
    <cfRule type="expression" dxfId="32" priority="2">
      <formula>#REF!+#REF!&gt;0</formula>
    </cfRule>
  </conditionalFormatting>
  <conditionalFormatting sqref="D18:D21">
    <cfRule type="expression" dxfId="31" priority="10">
      <formula>#REF!+#REF!&gt;0</formula>
    </cfRule>
  </conditionalFormatting>
  <conditionalFormatting sqref="D22:E22">
    <cfRule type="expression" dxfId="30" priority="11">
      <formula>B22+#REF!&gt;0</formula>
    </cfRule>
  </conditionalFormatting>
  <conditionalFormatting sqref="D13:I13">
    <cfRule type="expression" dxfId="29" priority="9" stopIfTrue="1">
      <formula>D13&gt;0</formula>
    </cfRule>
  </conditionalFormatting>
  <conditionalFormatting sqref="D13:I14">
    <cfRule type="expression" dxfId="28" priority="7">
      <formula>D13&lt;0</formula>
    </cfRule>
  </conditionalFormatting>
  <conditionalFormatting sqref="D14:I14">
    <cfRule type="expression" dxfId="27" priority="8">
      <formula>D14&gt;0</formula>
    </cfRule>
  </conditionalFormatting>
  <conditionalFormatting sqref="D15:I15">
    <cfRule type="expression" dxfId="26" priority="4">
      <formula>#REF!+C15&gt;0</formula>
    </cfRule>
  </conditionalFormatting>
  <conditionalFormatting sqref="E16:F17">
    <cfRule type="expression" dxfId="25" priority="1">
      <formula>C16+#REF!&gt;0</formula>
    </cfRule>
  </conditionalFormatting>
  <conditionalFormatting sqref="E18:F21">
    <cfRule type="expression" dxfId="24" priority="13">
      <formula>#REF!+#REF!&gt;0</formula>
    </cfRule>
  </conditionalFormatting>
  <conditionalFormatting sqref="F22">
    <cfRule type="expression" dxfId="23" priority="92">
      <formula>E22+#REF!&gt;0</formula>
    </cfRule>
  </conditionalFormatting>
  <conditionalFormatting sqref="G16:H22">
    <cfRule type="expression" dxfId="22" priority="3">
      <formula>#REF!+#REF!&gt;0</formula>
    </cfRule>
  </conditionalFormatting>
  <conditionalFormatting sqref="I16:I22">
    <cfRule type="expression" dxfId="21" priority="62">
      <formula>G16+#REF!&gt;0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activeCell="G32" sqref="G32"/>
    </sheetView>
  </sheetViews>
  <sheetFormatPr defaultRowHeight="17" x14ac:dyDescent="0.45"/>
  <cols>
    <col min="1" max="1" width="3.33203125" style="22" customWidth="1"/>
    <col min="2" max="2" width="11" style="22" bestFit="1" customWidth="1"/>
    <col min="3" max="3" width="13" style="22" bestFit="1" customWidth="1"/>
    <col min="4" max="4" width="39" style="22" customWidth="1"/>
    <col min="5" max="5" width="34.33203125" style="22" customWidth="1"/>
    <col min="6" max="6" width="13.83203125" style="22" bestFit="1" customWidth="1"/>
  </cols>
  <sheetData>
    <row r="1" spans="2:6" ht="17.5" customHeight="1" x14ac:dyDescent="0.45"/>
    <row r="2" spans="2:6" x14ac:dyDescent="0.45">
      <c r="B2" s="55" t="s">
        <v>15</v>
      </c>
      <c r="C2" s="6" t="s">
        <v>16</v>
      </c>
      <c r="D2" s="5">
        <v>1</v>
      </c>
      <c r="E2" s="5">
        <v>2</v>
      </c>
      <c r="F2" s="51" t="s">
        <v>17</v>
      </c>
    </row>
    <row r="3" spans="2:6" x14ac:dyDescent="0.45">
      <c r="B3" s="52"/>
      <c r="C3" s="6" t="s">
        <v>18</v>
      </c>
      <c r="D3" s="11" t="s">
        <v>47</v>
      </c>
      <c r="E3" s="11" t="s">
        <v>48</v>
      </c>
      <c r="F3" s="52"/>
    </row>
    <row r="4" spans="2:6" ht="17.5" customHeight="1" x14ac:dyDescent="0.45">
      <c r="B4" s="53"/>
      <c r="C4" s="6" t="s">
        <v>22</v>
      </c>
      <c r="D4" s="7" t="s">
        <v>49</v>
      </c>
      <c r="E4" s="7" t="s">
        <v>50</v>
      </c>
      <c r="F4" s="53"/>
    </row>
    <row r="5" spans="2:6" x14ac:dyDescent="0.45">
      <c r="B5" s="55" t="s">
        <v>51</v>
      </c>
      <c r="C5" s="23" t="s">
        <v>27</v>
      </c>
      <c r="D5" s="61">
        <v>1</v>
      </c>
      <c r="E5" s="61">
        <v>0</v>
      </c>
      <c r="F5" s="18">
        <f>SUM(A5:E5)</f>
        <v>1</v>
      </c>
    </row>
    <row r="6" spans="2:6" ht="17.5" customHeight="1" x14ac:dyDescent="0.45">
      <c r="B6" s="52"/>
      <c r="C6" s="23" t="s">
        <v>28</v>
      </c>
      <c r="D6" s="61">
        <v>1</v>
      </c>
      <c r="E6" s="61">
        <v>0</v>
      </c>
      <c r="F6" s="18"/>
    </row>
    <row r="7" spans="2:6" ht="17.5" customHeight="1" x14ac:dyDescent="0.45">
      <c r="B7" s="53"/>
      <c r="C7" s="23" t="s">
        <v>52</v>
      </c>
      <c r="D7" s="31">
        <f>Assets!$E$6*(D5)*D6</f>
        <v>123930727</v>
      </c>
      <c r="E7" s="31">
        <f>Assets!$E$6*(E5)*E6</f>
        <v>0</v>
      </c>
      <c r="F7" s="35">
        <f>SUM(D7:E7)</f>
        <v>123930727</v>
      </c>
    </row>
    <row r="8" spans="2:6" ht="17.5" customHeight="1" x14ac:dyDescent="0.45">
      <c r="B8" s="55" t="s">
        <v>30</v>
      </c>
      <c r="C8" s="33" t="s">
        <v>31</v>
      </c>
      <c r="D8" s="59">
        <v>10063</v>
      </c>
      <c r="E8" s="34"/>
      <c r="F8" s="8"/>
    </row>
    <row r="9" spans="2:6" ht="17.5" customHeight="1" x14ac:dyDescent="0.45">
      <c r="B9" s="52"/>
      <c r="C9" s="33" t="s">
        <v>32</v>
      </c>
      <c r="D9" s="59">
        <v>9792</v>
      </c>
      <c r="E9" s="34"/>
      <c r="F9" s="8"/>
    </row>
    <row r="10" spans="2:6" ht="17.5" customHeight="1" x14ac:dyDescent="0.45">
      <c r="B10" s="52"/>
      <c r="C10" s="6" t="s">
        <v>4</v>
      </c>
      <c r="D10" s="31">
        <f>D9*D8</f>
        <v>98536896</v>
      </c>
      <c r="E10" s="31">
        <f>E9*E8</f>
        <v>0</v>
      </c>
      <c r="F10" s="35">
        <f>SUM(D10:E10)</f>
        <v>98536896</v>
      </c>
    </row>
    <row r="11" spans="2:6" ht="17.5" customHeight="1" x14ac:dyDescent="0.45">
      <c r="B11" s="53"/>
      <c r="C11" s="23" t="s">
        <v>33</v>
      </c>
      <c r="D11" s="36">
        <f>IFERROR(D10/$F$10, 0)</f>
        <v>1</v>
      </c>
      <c r="E11" s="36">
        <f>IFERROR(E10/$F$10, 0)</f>
        <v>0</v>
      </c>
      <c r="F11" s="37">
        <f>SUM(D11:E11)</f>
        <v>1</v>
      </c>
    </row>
    <row r="12" spans="2:6" x14ac:dyDescent="0.45">
      <c r="B12" s="57" t="s">
        <v>34</v>
      </c>
      <c r="C12" s="23" t="s">
        <v>35</v>
      </c>
      <c r="D12" s="38">
        <v>10770</v>
      </c>
      <c r="E12" s="38">
        <v>46330</v>
      </c>
      <c r="F12" s="23"/>
    </row>
    <row r="13" spans="2:6" x14ac:dyDescent="0.45">
      <c r="B13" s="58"/>
      <c r="C13" s="6" t="s">
        <v>36</v>
      </c>
      <c r="D13" s="9">
        <f>IF(D9&gt;0, (D12-D9)/D9, 0)</f>
        <v>9.9877450980392163E-2</v>
      </c>
      <c r="E13" s="9">
        <f>IF(E9&gt;0, (E12-E9)/E9, 0)</f>
        <v>0</v>
      </c>
      <c r="F13" s="9">
        <f>IFERROR(F14/F10, 0)</f>
        <v>9.9877450980392163E-2</v>
      </c>
    </row>
    <row r="14" spans="2:6" x14ac:dyDescent="0.45">
      <c r="B14" s="58"/>
      <c r="C14" s="23" t="s">
        <v>37</v>
      </c>
      <c r="D14" s="39">
        <f>D10*D13</f>
        <v>9841614</v>
      </c>
      <c r="E14" s="39">
        <f>E10*E13</f>
        <v>0</v>
      </c>
      <c r="F14" s="39">
        <f>SUM(D14:E14)</f>
        <v>9841614</v>
      </c>
    </row>
    <row r="15" spans="2:6" x14ac:dyDescent="0.45">
      <c r="B15" s="58"/>
      <c r="C15" s="23" t="s">
        <v>53</v>
      </c>
      <c r="D15" s="24">
        <f>D7-D10</f>
        <v>25393831</v>
      </c>
      <c r="E15" s="24">
        <f>E7-E10</f>
        <v>0</v>
      </c>
      <c r="F15" s="24">
        <f>SUM(A15:D15)</f>
        <v>25393831</v>
      </c>
    </row>
    <row r="16" spans="2:6" ht="17.5" customHeight="1" x14ac:dyDescent="0.45">
      <c r="B16" s="58"/>
      <c r="C16" s="23" t="s">
        <v>38</v>
      </c>
      <c r="D16" s="39">
        <f>IFERROR((D7-D10)/D12, 0)</f>
        <v>2357.8301764159701</v>
      </c>
      <c r="E16" s="39">
        <f>IFERROR((E7-E10)/E12, 0)</f>
        <v>0</v>
      </c>
      <c r="F16" s="39">
        <f>IFERROR((F7-F10)/F12, 0)</f>
        <v>0</v>
      </c>
    </row>
    <row r="17" spans="2:6" s="21" customFormat="1" ht="17.5" customHeight="1" x14ac:dyDescent="0.45">
      <c r="B17" s="58"/>
      <c r="C17" s="23" t="s">
        <v>39</v>
      </c>
      <c r="D17" s="34">
        <v>1</v>
      </c>
      <c r="E17" s="34">
        <v>1</v>
      </c>
      <c r="F17" s="39"/>
    </row>
    <row r="18" spans="2:6" s="21" customFormat="1" ht="17.5" customHeight="1" x14ac:dyDescent="0.45">
      <c r="B18" s="58"/>
      <c r="C18" s="14">
        <v>0.4</v>
      </c>
      <c r="D18" s="24">
        <f>IF(D$17=1, D$16*Assets!$K5, -D$8*Assets!$K5)</f>
        <v>943.13207056638805</v>
      </c>
      <c r="E18" s="24">
        <f>IF(E$17=1, E$16*Assets!$K5, -E$8*Assets!$K5)</f>
        <v>0</v>
      </c>
      <c r="F18" s="39"/>
    </row>
    <row r="19" spans="2:6" s="21" customFormat="1" ht="17.5" customHeight="1" x14ac:dyDescent="0.45">
      <c r="B19" s="58"/>
      <c r="C19" s="14">
        <v>0.3</v>
      </c>
      <c r="D19" s="24">
        <f>IF(D$17=1, D$16*Assets!$K6, -D$8*Assets!$K6)</f>
        <v>707.34905292479095</v>
      </c>
      <c r="E19" s="24">
        <f>IF(E$17=1, E$16*Assets!$K6, -E$8*Assets!$K6)</f>
        <v>0</v>
      </c>
      <c r="F19" s="39"/>
    </row>
    <row r="20" spans="2:6" s="21" customFormat="1" ht="17.5" customHeight="1" x14ac:dyDescent="0.45">
      <c r="B20" s="58"/>
      <c r="C20" s="14">
        <v>0.2</v>
      </c>
      <c r="D20" s="24">
        <f>IF(D$17=1, D$16*Assets!$K7, -D$8*Assets!$K7)</f>
        <v>471.56603528319403</v>
      </c>
      <c r="E20" s="24">
        <f>IF(E$17=1, E$16*Assets!$K7, -E$8*Assets!$K7)</f>
        <v>0</v>
      </c>
      <c r="F20" s="39"/>
    </row>
    <row r="21" spans="2:6" s="21" customFormat="1" ht="17.5" customHeight="1" x14ac:dyDescent="0.45">
      <c r="B21" s="58"/>
      <c r="C21" s="14">
        <v>0.1</v>
      </c>
      <c r="D21" s="24">
        <f>IF(D$17=1, D$16*Assets!$K8, -D$8*Assets!$K8)</f>
        <v>235.78301764159701</v>
      </c>
      <c r="E21" s="24">
        <f>IF(E$17=1, E$16*Assets!$K8, -E$8*Assets!$K8)</f>
        <v>0</v>
      </c>
      <c r="F21" s="39"/>
    </row>
    <row r="22" spans="2:6" s="21" customFormat="1" ht="17.5" customHeight="1" x14ac:dyDescent="0.45">
      <c r="C22" s="10"/>
      <c r="D22" s="40"/>
      <c r="E22" s="40"/>
      <c r="F22" s="40"/>
    </row>
    <row r="23" spans="2:6" x14ac:dyDescent="0.45">
      <c r="B23" s="54" t="s">
        <v>40</v>
      </c>
      <c r="C23" s="6" t="s">
        <v>41</v>
      </c>
      <c r="D23" s="31">
        <f>D8+D16</f>
        <v>12420.83017641597</v>
      </c>
      <c r="E23" s="31">
        <f>E8+E16</f>
        <v>0</v>
      </c>
      <c r="F23" s="51" t="s">
        <v>42</v>
      </c>
    </row>
    <row r="24" spans="2:6" x14ac:dyDescent="0.45">
      <c r="B24" s="52"/>
      <c r="C24" s="6" t="s">
        <v>43</v>
      </c>
      <c r="D24" s="41">
        <f>IF(D10&gt;0,(((D8*D9)+(D16*D12))/(D8+D16)),0)</f>
        <v>9977.652478923128</v>
      </c>
      <c r="E24" s="41">
        <f>IF(E10&gt;0,(((E8*E9)+(E16*E12))/(E8+E16)),0)</f>
        <v>0</v>
      </c>
      <c r="F24" s="53"/>
    </row>
    <row r="25" spans="2:6" ht="17.5" customHeight="1" x14ac:dyDescent="0.45">
      <c r="B25" s="53"/>
      <c r="C25" s="23" t="s">
        <v>54</v>
      </c>
      <c r="D25" s="46">
        <f>D23*D24</f>
        <v>123930727</v>
      </c>
      <c r="E25" s="46">
        <f>E23*E24</f>
        <v>0</v>
      </c>
      <c r="F25" s="42">
        <f>SUM(D25:E25)</f>
        <v>123930727</v>
      </c>
    </row>
    <row r="27" spans="2:6" x14ac:dyDescent="0.45">
      <c r="B27" s="54" t="s">
        <v>44</v>
      </c>
      <c r="C27" s="23" t="s">
        <v>45</v>
      </c>
      <c r="D27" s="15">
        <v>46148</v>
      </c>
      <c r="E27" s="15">
        <v>46148</v>
      </c>
      <c r="F27" s="19">
        <f>F28/F$10</f>
        <v>1.4972107503771988E-2</v>
      </c>
    </row>
    <row r="28" spans="2:6" x14ac:dyDescent="0.45">
      <c r="B28" s="53"/>
      <c r="C28" s="23" t="s">
        <v>46</v>
      </c>
      <c r="D28" s="24">
        <v>1434641</v>
      </c>
      <c r="E28" s="24">
        <v>40664</v>
      </c>
      <c r="F28" s="44">
        <f>SUM(D28:E28)</f>
        <v>1475305</v>
      </c>
    </row>
    <row r="30" spans="2:6" x14ac:dyDescent="0.45">
      <c r="D30" s="62">
        <f>D18*D12</f>
        <v>10157532.399999999</v>
      </c>
    </row>
  </sheetData>
  <mergeCells count="8">
    <mergeCell ref="B27:B28"/>
    <mergeCell ref="B23:B25"/>
    <mergeCell ref="B8:B11"/>
    <mergeCell ref="F23:F24"/>
    <mergeCell ref="F2:F4"/>
    <mergeCell ref="B12:B21"/>
    <mergeCell ref="B2:B4"/>
    <mergeCell ref="B5:B7"/>
  </mergeCells>
  <phoneticPr fontId="4" type="noConversion"/>
  <conditionalFormatting sqref="D17:D21">
    <cfRule type="expression" dxfId="20" priority="2">
      <formula>#REF!+#REF!&gt;0</formula>
    </cfRule>
  </conditionalFormatting>
  <conditionalFormatting sqref="D13:F13">
    <cfRule type="expression" dxfId="19" priority="6" stopIfTrue="1">
      <formula>D13&gt;0</formula>
    </cfRule>
  </conditionalFormatting>
  <conditionalFormatting sqref="D13:F14">
    <cfRule type="expression" dxfId="18" priority="4">
      <formula>D13&lt;0</formula>
    </cfRule>
  </conditionalFormatting>
  <conditionalFormatting sqref="D14:F14">
    <cfRule type="expression" dxfId="17" priority="14">
      <formula>D14&gt;0</formula>
    </cfRule>
  </conditionalFormatting>
  <conditionalFormatting sqref="D15:F15">
    <cfRule type="expression" dxfId="16" priority="10">
      <formula>#REF!+C15&gt;0</formula>
    </cfRule>
  </conditionalFormatting>
  <conditionalFormatting sqref="D16:F16 F17:F21 D22:F22">
    <cfRule type="expression" dxfId="15" priority="9">
      <formula>B16+#REF!&gt;0</formula>
    </cfRule>
  </conditionalFormatting>
  <conditionalFormatting sqref="E17">
    <cfRule type="expression" dxfId="14" priority="3">
      <formula>C17+#REF!&gt;0</formula>
    </cfRule>
  </conditionalFormatting>
  <conditionalFormatting sqref="E18:E21">
    <cfRule type="expression" dxfId="13" priority="1">
      <formula>#REF!+#REF!&gt;0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8"/>
  <sheetViews>
    <sheetView workbookViewId="0">
      <selection activeCell="D35" sqref="D35"/>
    </sheetView>
  </sheetViews>
  <sheetFormatPr defaultRowHeight="17" x14ac:dyDescent="0.45"/>
  <cols>
    <col min="1" max="1" width="3.6640625" style="22" customWidth="1"/>
    <col min="2" max="2" width="11" style="22" bestFit="1" customWidth="1"/>
    <col min="3" max="3" width="13" style="22" bestFit="1" customWidth="1"/>
    <col min="4" max="4" width="31.9140625" style="22" bestFit="1" customWidth="1"/>
    <col min="5" max="5" width="26.9140625" style="22" customWidth="1"/>
    <col min="6" max="6" width="12.6640625" style="22" bestFit="1" customWidth="1"/>
  </cols>
  <sheetData>
    <row r="2" spans="2:6" x14ac:dyDescent="0.45">
      <c r="B2" s="55" t="s">
        <v>15</v>
      </c>
      <c r="C2" s="6" t="s">
        <v>16</v>
      </c>
      <c r="D2" s="5">
        <v>1</v>
      </c>
      <c r="E2" s="5">
        <v>2</v>
      </c>
      <c r="F2" s="51" t="s">
        <v>17</v>
      </c>
    </row>
    <row r="3" spans="2:6" x14ac:dyDescent="0.45">
      <c r="B3" s="52"/>
      <c r="C3" s="6" t="s">
        <v>18</v>
      </c>
      <c r="D3" s="11" t="s">
        <v>55</v>
      </c>
      <c r="E3" s="12"/>
      <c r="F3" s="52"/>
    </row>
    <row r="4" spans="2:6" x14ac:dyDescent="0.45">
      <c r="B4" s="53"/>
      <c r="C4" s="6" t="s">
        <v>22</v>
      </c>
      <c r="D4" s="7" t="s">
        <v>56</v>
      </c>
      <c r="E4" s="7"/>
      <c r="F4" s="53"/>
    </row>
    <row r="5" spans="2:6" x14ac:dyDescent="0.45">
      <c r="B5" s="55" t="s">
        <v>51</v>
      </c>
      <c r="C5" s="23" t="s">
        <v>27</v>
      </c>
      <c r="D5" s="30">
        <v>1</v>
      </c>
      <c r="E5" s="30"/>
      <c r="F5" s="18">
        <f>SUM(A5:E5)</f>
        <v>1</v>
      </c>
    </row>
    <row r="6" spans="2:6" x14ac:dyDescent="0.45">
      <c r="B6" s="52"/>
      <c r="C6" s="23" t="s">
        <v>28</v>
      </c>
      <c r="D6" s="30">
        <v>1</v>
      </c>
      <c r="E6" s="30"/>
      <c r="F6" s="18"/>
    </row>
    <row r="7" spans="2:6" x14ac:dyDescent="0.45">
      <c r="B7" s="53"/>
      <c r="C7" s="23" t="s">
        <v>52</v>
      </c>
      <c r="D7" s="31">
        <f>Assets!$E$7*(D5)*D6</f>
        <v>13653790</v>
      </c>
      <c r="E7" s="31">
        <f>Assets!$E$5*(E5)*E6</f>
        <v>0</v>
      </c>
      <c r="F7" s="35">
        <f>SUM(A7:D7)</f>
        <v>13653790</v>
      </c>
    </row>
    <row r="8" spans="2:6" x14ac:dyDescent="0.45">
      <c r="B8" s="55" t="s">
        <v>30</v>
      </c>
      <c r="C8" s="33" t="s">
        <v>31</v>
      </c>
      <c r="D8" s="34">
        <v>1771</v>
      </c>
      <c r="E8" s="34"/>
      <c r="F8" s="8"/>
    </row>
    <row r="9" spans="2:6" x14ac:dyDescent="0.45">
      <c r="B9" s="52"/>
      <c r="C9" s="33" t="s">
        <v>32</v>
      </c>
      <c r="D9" s="34">
        <v>7687</v>
      </c>
      <c r="E9" s="34"/>
      <c r="F9" s="8"/>
    </row>
    <row r="10" spans="2:6" x14ac:dyDescent="0.45">
      <c r="B10" s="52"/>
      <c r="C10" s="6" t="s">
        <v>4</v>
      </c>
      <c r="D10" s="31">
        <f>D9*D8</f>
        <v>13613677</v>
      </c>
      <c r="E10" s="31">
        <f>E9*E8</f>
        <v>0</v>
      </c>
      <c r="F10" s="35">
        <f>SUM(A10:D10)</f>
        <v>13613677</v>
      </c>
    </row>
    <row r="11" spans="2:6" x14ac:dyDescent="0.45">
      <c r="B11" s="53"/>
      <c r="C11" s="23" t="s">
        <v>33</v>
      </c>
      <c r="D11" s="36">
        <f>IFERROR(D10/$F$10, 0)</f>
        <v>1</v>
      </c>
      <c r="E11" s="36">
        <f>IFERROR(E10/$F$10, 0)</f>
        <v>0</v>
      </c>
      <c r="F11" s="37">
        <f>SUM(A11:D11)</f>
        <v>1</v>
      </c>
    </row>
    <row r="12" spans="2:6" x14ac:dyDescent="0.45">
      <c r="B12" s="57" t="s">
        <v>34</v>
      </c>
      <c r="C12" s="23" t="s">
        <v>35</v>
      </c>
      <c r="D12" s="60">
        <v>7745</v>
      </c>
      <c r="E12" s="47"/>
      <c r="F12" s="23"/>
    </row>
    <row r="13" spans="2:6" x14ac:dyDescent="0.45">
      <c r="B13" s="58"/>
      <c r="C13" s="6" t="s">
        <v>36</v>
      </c>
      <c r="D13" s="9">
        <f>IF(D9&gt;0, (D12-D9)/D9, 0)</f>
        <v>7.5452061922726679E-3</v>
      </c>
      <c r="E13" s="9">
        <f>IF(E9&gt;0, (E12-E9)/E9, 0)</f>
        <v>0</v>
      </c>
      <c r="F13" s="9">
        <f>IFERROR(F14/F10, 0)</f>
        <v>7.5452061922726679E-3</v>
      </c>
    </row>
    <row r="14" spans="2:6" x14ac:dyDescent="0.45">
      <c r="B14" s="58"/>
      <c r="C14" s="23" t="s">
        <v>37</v>
      </c>
      <c r="D14" s="39">
        <f>D10*D13</f>
        <v>102718</v>
      </c>
      <c r="E14" s="39">
        <f>E10*E13</f>
        <v>0</v>
      </c>
      <c r="F14" s="39">
        <f>SUM(A14:D14)</f>
        <v>102718</v>
      </c>
    </row>
    <row r="15" spans="2:6" x14ac:dyDescent="0.45">
      <c r="B15" s="58"/>
      <c r="C15" s="23" t="s">
        <v>53</v>
      </c>
      <c r="D15" s="24">
        <f>D7-D10</f>
        <v>40113</v>
      </c>
      <c r="E15" s="24">
        <f>E7-E10</f>
        <v>0</v>
      </c>
      <c r="F15" s="24">
        <f>SUM(A15:D15)</f>
        <v>40113</v>
      </c>
    </row>
    <row r="16" spans="2:6" x14ac:dyDescent="0.45">
      <c r="B16" s="58"/>
      <c r="C16" s="23" t="s">
        <v>38</v>
      </c>
      <c r="D16" s="39">
        <f>IFERROR((D7-D10)/D12, 0)</f>
        <v>5.1792123950936091</v>
      </c>
      <c r="E16" s="39">
        <f>IFERROR((E7-E10)/E12, 0)</f>
        <v>0</v>
      </c>
      <c r="F16" s="39">
        <f>IFERROR((F7-F10)/F12, 0)</f>
        <v>0</v>
      </c>
    </row>
    <row r="17" spans="2:6" s="21" customFormat="1" x14ac:dyDescent="0.45">
      <c r="B17" s="58"/>
      <c r="C17" s="23" t="s">
        <v>39</v>
      </c>
      <c r="D17" s="34">
        <v>1</v>
      </c>
      <c r="E17" s="34">
        <v>1</v>
      </c>
      <c r="F17" s="39"/>
    </row>
    <row r="18" spans="2:6" s="21" customFormat="1" x14ac:dyDescent="0.45">
      <c r="B18" s="58"/>
      <c r="C18" s="14">
        <v>0.4</v>
      </c>
      <c r="D18" s="24">
        <f>IF(D$17=1, D$16*Assets!$K5, -D$8*Assets!$K5)</f>
        <v>2.0716849580374439</v>
      </c>
      <c r="E18" s="24">
        <f>IF(E$17=1, E$16*Assets!$K5, -E$8*Assets!$K5)</f>
        <v>0</v>
      </c>
      <c r="F18" s="39"/>
    </row>
    <row r="19" spans="2:6" s="21" customFormat="1" x14ac:dyDescent="0.45">
      <c r="B19" s="58"/>
      <c r="C19" s="14">
        <v>0.3</v>
      </c>
      <c r="D19" s="24">
        <f>IF(D$17=1, D$16*Assets!$K6, -D$8*Assets!$K6)</f>
        <v>1.5537637185280826</v>
      </c>
      <c r="E19" s="24">
        <f>IF(E$17=1, E$16*Assets!$K6, -E$8*Assets!$K6)</f>
        <v>0</v>
      </c>
      <c r="F19" s="39"/>
    </row>
    <row r="20" spans="2:6" s="21" customFormat="1" x14ac:dyDescent="0.45">
      <c r="B20" s="58"/>
      <c r="C20" s="14">
        <v>0.2</v>
      </c>
      <c r="D20" s="24">
        <f>IF(D$17=1, D$16*Assets!$K7, -D$8*Assets!$K7)</f>
        <v>1.035842479018722</v>
      </c>
      <c r="E20" s="24">
        <f>IF(E$17=1, E$16*Assets!$K7, -E$8*Assets!$K7)</f>
        <v>0</v>
      </c>
      <c r="F20" s="39"/>
    </row>
    <row r="21" spans="2:6" s="21" customFormat="1" x14ac:dyDescent="0.45">
      <c r="B21" s="58"/>
      <c r="C21" s="14">
        <v>0.1</v>
      </c>
      <c r="D21" s="24">
        <f>IF(D$17=1, D$16*Assets!$K8, -D$8*Assets!$K8)</f>
        <v>0.51792123950936098</v>
      </c>
      <c r="E21" s="24">
        <f>IF(E$17=1, E$16*Assets!$K8, -E$8*Assets!$K8)</f>
        <v>0</v>
      </c>
      <c r="F21" s="39"/>
    </row>
    <row r="22" spans="2:6" s="21" customFormat="1" x14ac:dyDescent="0.45">
      <c r="C22" s="10"/>
      <c r="D22" s="40"/>
      <c r="E22" s="40"/>
      <c r="F22" s="40"/>
    </row>
    <row r="23" spans="2:6" x14ac:dyDescent="0.45">
      <c r="B23" s="54" t="s">
        <v>40</v>
      </c>
      <c r="C23" s="6" t="s">
        <v>41</v>
      </c>
      <c r="D23" s="31">
        <f>D8+D16</f>
        <v>1776.1792123950936</v>
      </c>
      <c r="E23" s="31">
        <f>E8+E16</f>
        <v>0</v>
      </c>
      <c r="F23" s="51" t="s">
        <v>42</v>
      </c>
    </row>
    <row r="24" spans="2:6" x14ac:dyDescent="0.45">
      <c r="B24" s="52"/>
      <c r="C24" s="6" t="s">
        <v>43</v>
      </c>
      <c r="D24" s="41">
        <f>IF(D10&gt;0,(((D8*D9)+(D16*D12))/(D8+D16)),0)</f>
        <v>7687.1691238794028</v>
      </c>
      <c r="E24" s="41">
        <f>IF(E10&gt;0,(((E8*E9)+(E16*E12))/(E8+E16)),0)</f>
        <v>0</v>
      </c>
      <c r="F24" s="53"/>
    </row>
    <row r="25" spans="2:6" x14ac:dyDescent="0.45">
      <c r="B25" s="53"/>
      <c r="C25" s="23" t="s">
        <v>54</v>
      </c>
      <c r="D25" s="46">
        <f>D23*D24</f>
        <v>13653790</v>
      </c>
      <c r="E25" s="46">
        <f>E23*E24</f>
        <v>0</v>
      </c>
      <c r="F25" s="42">
        <f>SUM(A25:D25)</f>
        <v>13653790</v>
      </c>
    </row>
    <row r="27" spans="2:6" x14ac:dyDescent="0.45">
      <c r="B27" s="54" t="s">
        <v>44</v>
      </c>
      <c r="C27" s="23" t="s">
        <v>45</v>
      </c>
      <c r="D27" s="15">
        <v>46161</v>
      </c>
      <c r="E27" s="15"/>
      <c r="F27" s="19">
        <f>IFERROR(F28/F$10, 0)</f>
        <v>1.0033365710086995E-2</v>
      </c>
    </row>
    <row r="28" spans="2:6" x14ac:dyDescent="0.45">
      <c r="B28" s="53"/>
      <c r="C28" s="23" t="s">
        <v>46</v>
      </c>
      <c r="D28" s="24">
        <v>136591</v>
      </c>
      <c r="E28" s="24"/>
      <c r="F28" s="44">
        <f>SUM(D28:E28)</f>
        <v>136591</v>
      </c>
    </row>
  </sheetData>
  <mergeCells count="8">
    <mergeCell ref="B27:B28"/>
    <mergeCell ref="B23:B25"/>
    <mergeCell ref="B8:B11"/>
    <mergeCell ref="F2:F4"/>
    <mergeCell ref="B12:B21"/>
    <mergeCell ref="B2:B4"/>
    <mergeCell ref="F23:F24"/>
    <mergeCell ref="B5:B7"/>
  </mergeCells>
  <phoneticPr fontId="4" type="noConversion"/>
  <conditionalFormatting sqref="D17:D21">
    <cfRule type="expression" dxfId="12" priority="2">
      <formula>#REF!+#REF!&gt;0</formula>
    </cfRule>
  </conditionalFormatting>
  <conditionalFormatting sqref="D13:E13">
    <cfRule type="expression" dxfId="11" priority="16" stopIfTrue="1">
      <formula>D13&gt;0</formula>
    </cfRule>
  </conditionalFormatting>
  <conditionalFormatting sqref="D13:E14">
    <cfRule type="expression" dxfId="10" priority="13">
      <formula>D13&lt;0</formula>
    </cfRule>
  </conditionalFormatting>
  <conditionalFormatting sqref="D14:E14">
    <cfRule type="expression" dxfId="9" priority="14">
      <formula>D14&gt;0</formula>
    </cfRule>
  </conditionalFormatting>
  <conditionalFormatting sqref="D15:F15">
    <cfRule type="expression" dxfId="8" priority="10">
      <formula>#REF!+C15&gt;0</formula>
    </cfRule>
  </conditionalFormatting>
  <conditionalFormatting sqref="D16:F16 D22:F22">
    <cfRule type="expression" dxfId="7" priority="9">
      <formula>B16+#REF!&gt;0</formula>
    </cfRule>
  </conditionalFormatting>
  <conditionalFormatting sqref="E17">
    <cfRule type="expression" dxfId="6" priority="3">
      <formula>C17+#REF!&gt;0</formula>
    </cfRule>
  </conditionalFormatting>
  <conditionalFormatting sqref="E18:E21">
    <cfRule type="expression" dxfId="5" priority="1">
      <formula>#REF!+#REF!&gt;0</formula>
    </cfRule>
  </conditionalFormatting>
  <conditionalFormatting sqref="F13">
    <cfRule type="expression" dxfId="4" priority="5">
      <formula>F13&lt;0</formula>
    </cfRule>
    <cfRule type="expression" dxfId="3" priority="6" stopIfTrue="1">
      <formula>F13&gt;0</formula>
    </cfRule>
  </conditionalFormatting>
  <conditionalFormatting sqref="F14">
    <cfRule type="expression" dxfId="2" priority="7">
      <formula>E14&lt;0</formula>
    </cfRule>
    <cfRule type="expression" dxfId="1" priority="8">
      <formula>E14&gt;0</formula>
    </cfRule>
  </conditionalFormatting>
  <conditionalFormatting sqref="F17:F21">
    <cfRule type="expression" dxfId="0" priority="4">
      <formula>D17+#REF!&gt;0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2026-05-28T08:14:46Z</dcterms:modified>
  <cp:version>1300.0100.01</cp:version>
</cp:coreProperties>
</file>