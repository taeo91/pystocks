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9020" yWindow="470" windowWidth="27020" windowHeight="1961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2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141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9" fontId="3" fillId="0" borderId="1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7" fontId="0" fillId="0" borderId="1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0" fontId="5" fillId="3" borderId="8" applyAlignment="1" pivotButton="0" quotePrefix="0" xfId="1">
      <alignment vertical="center"/>
    </xf>
    <xf numFmtId="9" fontId="3" fillId="0" borderId="10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9" fontId="3" fillId="0" borderId="6" applyAlignment="1" pivotButton="0" quotePrefix="0" xfId="1">
      <alignment vertical="center"/>
    </xf>
    <xf numFmtId="9" fontId="3" fillId="0" borderId="8" applyAlignment="1" pivotButton="0" quotePrefix="0" xfId="1">
      <alignment vertical="center"/>
    </xf>
    <xf numFmtId="0" fontId="3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10" fontId="3" fillId="0" borderId="1" applyAlignment="1" pivotButton="0" quotePrefix="0" xfId="1">
      <alignment vertical="center"/>
    </xf>
    <xf numFmtId="0" fontId="0" fillId="0" borderId="17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10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0" fillId="0" borderId="1" pivotButton="0" quotePrefix="0" xfId="0"/>
    <xf numFmtId="164" fontId="3" fillId="0" borderId="1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1" applyAlignment="1" pivotButton="0" quotePrefix="0" xfId="2">
      <alignment horizontal="center" vertical="center"/>
    </xf>
    <xf numFmtId="0" fontId="0" fillId="0" borderId="4" pivotButton="0" quotePrefix="0" xfId="0"/>
    <xf numFmtId="0" fontId="3" fillId="0" borderId="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7" fillId="4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8" pivotButton="0" quotePrefix="0" xfId="0"/>
    <xf numFmtId="164" fontId="7" fillId="4" borderId="19" applyAlignment="1" pivotButton="0" quotePrefix="0" xfId="2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4" fontId="7" fillId="4" borderId="12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 wrapText="1"/>
    </xf>
    <xf numFmtId="164" fontId="7" fillId="4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164" fontId="7" fillId="4" borderId="20" applyAlignment="1" pivotButton="0" quotePrefix="0" xfId="2">
      <alignment horizontal="center" vertical="center"/>
    </xf>
    <xf numFmtId="0" fontId="0" fillId="0" borderId="14" pivotButton="0" quotePrefix="0" xfId="0"/>
    <xf numFmtId="164" fontId="7" fillId="4" borderId="21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21" pivotButton="0" quotePrefix="0" xfId="0"/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7" fillId="4" borderId="19" applyAlignment="1" pivotButton="0" quotePrefix="0" xfId="2">
      <alignment horizontal="center" vertical="center"/>
    </xf>
    <xf numFmtId="164" fontId="11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7" fillId="4" borderId="12" applyAlignment="1" pivotButton="0" quotePrefix="0" xfId="2">
      <alignment horizontal="center"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 wrapText="1"/>
    </xf>
    <xf numFmtId="164" fontId="0" fillId="0" borderId="1" pivotButton="0" quotePrefix="0" xfId="0"/>
    <xf numFmtId="0" fontId="0" fillId="0" borderId="22" pivotButton="0" quotePrefix="0" xfId="0"/>
    <xf numFmtId="164" fontId="3" fillId="0" borderId="1" applyAlignment="1" pivotButton="0" quotePrefix="0" xfId="1">
      <alignment vertical="center"/>
    </xf>
    <xf numFmtId="164" fontId="0" fillId="0" borderId="0" applyAlignment="1" pivotButton="0" quotePrefix="0" xfId="0">
      <alignment vertical="center"/>
    </xf>
    <xf numFmtId="164" fontId="7" fillId="4" borderId="20" applyAlignment="1" pivotButton="0" quotePrefix="0" xfId="2">
      <alignment horizontal="center"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7" fillId="4" borderId="1" applyAlignment="1" pivotButton="0" quotePrefix="0" xfId="2">
      <alignment horizontal="center" vertical="center" wrapText="1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21" applyAlignment="1" pivotButton="0" quotePrefix="0" xfId="2">
      <alignment horizontal="center" vertical="center" wrapText="1"/>
    </xf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2"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23"/>
  <sheetViews>
    <sheetView workbookViewId="0">
      <selection activeCell="G21" sqref="G21"/>
    </sheetView>
  </sheetViews>
  <sheetFormatPr baseColWidth="8" defaultRowHeight="17"/>
  <cols>
    <col width="14.25" bestFit="1" customWidth="1" style="94" min="2" max="2"/>
    <col width="17.4140625" customWidth="1" style="94" min="3" max="3"/>
    <col width="14.25" bestFit="1" customWidth="1" style="94" min="4" max="4"/>
    <col width="14.25" customWidth="1" style="94" min="5" max="5"/>
    <col width="14.25" bestFit="1" customWidth="1" style="94" min="6" max="6"/>
    <col width="14.25" customWidth="1" style="94" min="7" max="7"/>
    <col width="12.6640625" bestFit="1" customWidth="1" style="94" min="8" max="8"/>
    <col width="2.4140625" customWidth="1" style="94" min="9" max="9"/>
  </cols>
  <sheetData>
    <row r="1" customFormat="1" s="16"/>
    <row r="2">
      <c r="B2" s="33" t="n"/>
      <c r="C2" s="3" t="inlineStr">
        <is>
          <t>한도액</t>
        </is>
      </c>
      <c r="D2" s="3" t="inlineStr">
        <is>
          <t>투자금</t>
        </is>
      </c>
      <c r="E2" s="3" t="inlineStr">
        <is>
          <t>투자비율</t>
        </is>
      </c>
      <c r="F2" s="3" t="inlineStr">
        <is>
          <t>순자산총액</t>
        </is>
      </c>
      <c r="G2" s="3" t="inlineStr">
        <is>
          <t>이자</t>
        </is>
      </c>
      <c r="H2" s="3" t="inlineStr">
        <is>
          <t>평가손익</t>
        </is>
      </c>
      <c r="J2" s="8" t="inlineStr">
        <is>
          <t>매매비율</t>
        </is>
      </c>
    </row>
    <row r="3">
      <c r="B3" s="2" t="inlineStr">
        <is>
          <t>CMA</t>
        </is>
      </c>
      <c r="C3" s="96">
        <f>ROUNDDOWN(F3-H3, -7)</f>
        <v/>
      </c>
      <c r="D3" s="96">
        <f>CMA!I10</f>
        <v/>
      </c>
      <c r="E3" s="29">
        <f>D3/C3</f>
        <v/>
      </c>
      <c r="F3" s="97" t="n">
        <v>1318000000</v>
      </c>
      <c r="G3" s="97" t="n"/>
      <c r="H3" s="98">
        <f>CMA!I13</f>
        <v/>
      </c>
      <c r="J3" s="11" t="n">
        <v>0.4</v>
      </c>
    </row>
    <row r="4">
      <c r="B4" s="2" t="inlineStr">
        <is>
          <t>연금저축(신)</t>
        </is>
      </c>
      <c r="C4" s="96">
        <f>ROUNDDOWN(F4-H4, -6)</f>
        <v/>
      </c>
      <c r="D4" s="96">
        <f>개인연금!F10</f>
        <v/>
      </c>
      <c r="E4" s="29">
        <f>D4/C4</f>
        <v/>
      </c>
      <c r="F4" s="97" t="n">
        <v>137400000</v>
      </c>
      <c r="G4" s="97" t="n">
        <v>0</v>
      </c>
      <c r="H4" s="98">
        <f>개인연금!F13+G4</f>
        <v/>
      </c>
      <c r="J4" s="11" t="n">
        <v>0.3</v>
      </c>
    </row>
    <row r="5">
      <c r="B5" s="2" t="inlineStr">
        <is>
          <t>IRP</t>
        </is>
      </c>
      <c r="C5" s="96">
        <f>ROUNDDOWN(F5-H5, -5)</f>
        <v/>
      </c>
      <c r="D5" s="96">
        <f>퇴직연금!F10</f>
        <v/>
      </c>
      <c r="E5" s="29">
        <f>D5/C5</f>
        <v/>
      </c>
      <c r="F5" s="97" t="n">
        <v>13700000</v>
      </c>
      <c r="G5" s="97" t="n">
        <v>0</v>
      </c>
      <c r="H5" s="98">
        <f>퇴직연금!F13+G5</f>
        <v/>
      </c>
      <c r="J5" s="11" t="n">
        <v>0.2</v>
      </c>
    </row>
    <row r="6">
      <c r="D6" s="99" t="n"/>
      <c r="E6" s="99" t="n"/>
      <c r="F6" s="99" t="n"/>
      <c r="H6" s="99" t="n"/>
      <c r="J6" s="11" t="n">
        <v>0.1</v>
      </c>
    </row>
    <row r="7">
      <c r="B7" s="100" t="inlineStr">
        <is>
          <t>총자산</t>
        </is>
      </c>
      <c r="C7" s="75" t="n"/>
    </row>
    <row r="8">
      <c r="A8" s="16" t="n"/>
      <c r="B8" s="29">
        <f>C17/C11</f>
        <v/>
      </c>
      <c r="C8" s="101">
        <f>SUM(F3,F4,F5)</f>
        <v/>
      </c>
    </row>
    <row r="10">
      <c r="A10" s="16" t="n"/>
      <c r="B10" s="100" t="inlineStr">
        <is>
          <t>원금</t>
        </is>
      </c>
      <c r="C10" s="75" t="n"/>
    </row>
    <row r="11" customFormat="1" s="16">
      <c r="B11" s="8" t="n"/>
      <c r="C11" s="101">
        <f>SUM(C3,C4,C5)</f>
        <v/>
      </c>
    </row>
    <row r="12">
      <c r="A12" s="16" t="n"/>
    </row>
    <row r="13" customFormat="1" s="16">
      <c r="B13" s="100" t="inlineStr">
        <is>
          <t>투자금</t>
        </is>
      </c>
      <c r="C13" s="75" t="n"/>
    </row>
    <row r="14" customFormat="1" s="16">
      <c r="B14" s="29">
        <f>C14/C11</f>
        <v/>
      </c>
      <c r="C14" s="102">
        <f>SUM(D3:D5)</f>
        <v/>
      </c>
    </row>
    <row r="15" customFormat="1" s="16"/>
    <row r="16" customFormat="1" s="16">
      <c r="B16" s="100" t="inlineStr">
        <is>
          <t>평가손익</t>
        </is>
      </c>
      <c r="C16" s="75" t="n"/>
    </row>
    <row r="17" customFormat="1" s="16">
      <c r="B17" s="29">
        <f>C17/C14</f>
        <v/>
      </c>
      <c r="C17" s="101">
        <f>SUM(H3,H4,H5)</f>
        <v/>
      </c>
    </row>
    <row r="18" customFormat="1" s="16"/>
    <row r="19" customFormat="1" s="16">
      <c r="B19" s="100" t="inlineStr">
        <is>
          <t>배당수익</t>
        </is>
      </c>
      <c r="C19" s="75" t="n"/>
    </row>
    <row r="20" customFormat="1" s="16">
      <c r="B20" s="13" t="inlineStr">
        <is>
          <t>합계</t>
        </is>
      </c>
      <c r="C20" s="102">
        <f>SUM(C22:C34)</f>
        <v/>
      </c>
      <c r="D20" s="36">
        <f>C20/C14</f>
        <v/>
      </c>
    </row>
    <row r="21" customFormat="1" s="16">
      <c r="B21" s="12" t="n"/>
      <c r="C21" s="103" t="n"/>
    </row>
    <row r="22" customFormat="1" s="16">
      <c r="B22" s="14" t="n">
        <v>46143</v>
      </c>
      <c r="C22" s="102">
        <f>CMA!J28+개인연금!G27+퇴직연금!F27</f>
        <v/>
      </c>
    </row>
    <row r="23" customFormat="1" s="16">
      <c r="B23" s="14" t="n">
        <v>46174</v>
      </c>
      <c r="C23" s="102">
        <f>CMA!I29+개인연금!F28+퇴직연금!F28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1"/>
  <sheetViews>
    <sheetView tabSelected="1" workbookViewId="0">
      <selection activeCell="E36" sqref="E36"/>
    </sheetView>
  </sheetViews>
  <sheetFormatPr baseColWidth="8" defaultRowHeight="17"/>
  <cols>
    <col width="3.33203125" customWidth="1" style="94" min="1" max="1"/>
    <col width="11" bestFit="1" customWidth="1" style="94" min="2" max="2"/>
    <col width="13" bestFit="1" customWidth="1" style="94" min="3" max="3"/>
    <col width="28.9140625" customWidth="1" style="94" min="4" max="4"/>
    <col width="27" customWidth="1" style="94" min="5" max="5"/>
    <col width="25.25" customWidth="1" style="94" min="6" max="6"/>
    <col width="37.58203125" customWidth="1" style="94" min="7" max="7"/>
    <col width="38.83203125" bestFit="1" customWidth="1" style="94" min="8" max="8"/>
    <col width="13.83203125" bestFit="1" customWidth="1" style="94" min="9" max="9"/>
    <col width="10.58203125" bestFit="1" customWidth="1" style="94" min="10" max="10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3</v>
      </c>
      <c r="F2" s="27" t="n">
        <v>3</v>
      </c>
      <c r="G2" s="27" t="n">
        <v>4</v>
      </c>
      <c r="H2" s="27" t="n">
        <v>5</v>
      </c>
      <c r="I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498400</t>
        </is>
      </c>
      <c r="E3" s="7" t="inlineStr">
        <is>
          <t>091160</t>
        </is>
      </c>
      <c r="F3" s="6" t="inlineStr">
        <is>
          <t>487240</t>
        </is>
      </c>
      <c r="G3" s="6" t="inlineStr">
        <is>
          <t>0204D0</t>
        </is>
      </c>
      <c r="H3" s="6" t="inlineStr">
        <is>
          <t>481060</t>
        </is>
      </c>
      <c r="I3" s="78" t="n"/>
    </row>
    <row r="4" ht="17.5" customHeight="1" s="94" thickBot="1">
      <c r="B4" s="81" t="n"/>
      <c r="C4" s="30" t="inlineStr">
        <is>
          <t>종목</t>
        </is>
      </c>
      <c r="D4" s="31" t="inlineStr">
        <is>
          <t>KODEX 200타겟위클리커버드콜</t>
        </is>
      </c>
      <c r="E4" s="31" t="inlineStr">
        <is>
          <t>KODEX 반도체</t>
        </is>
      </c>
      <c r="F4" s="31" t="inlineStr">
        <is>
          <t>KODEX AI전력핵심설비</t>
        </is>
      </c>
      <c r="G4" s="31" t="inlineStr">
        <is>
          <t>KODEX 현대차로보틱스밸류체인TOP3플러</t>
        </is>
      </c>
      <c r="H4" s="28" t="inlineStr">
        <is>
          <t>KODEX 미국30년국채타겟커버드콜(합성H)</t>
        </is>
      </c>
      <c r="I4" s="77" t="n"/>
    </row>
    <row r="5">
      <c r="B5" s="79" t="inlineStr">
        <is>
          <t>Plan</t>
        </is>
      </c>
      <c r="C5" s="17" t="inlineStr">
        <is>
          <t>투자비중</t>
        </is>
      </c>
      <c r="D5" s="104" t="n">
        <v>0.4</v>
      </c>
      <c r="E5" s="104" t="n">
        <v>0.3</v>
      </c>
      <c r="F5" s="104" t="n">
        <v>0.2</v>
      </c>
      <c r="G5" s="104" t="n">
        <v>0.1</v>
      </c>
      <c r="H5" s="104" t="n">
        <v>0</v>
      </c>
      <c r="I5" s="23">
        <f>SUM(D5:H5)</f>
        <v/>
      </c>
    </row>
    <row r="6" ht="17.5" customHeight="1" s="94">
      <c r="B6" s="80" t="n"/>
      <c r="C6" s="90" t="inlineStr">
        <is>
          <t>매수목표</t>
        </is>
      </c>
      <c r="D6" s="105" t="n">
        <v>0.45</v>
      </c>
      <c r="E6" s="105" t="n">
        <v>0.2</v>
      </c>
      <c r="F6" s="105" t="n">
        <v>0.2</v>
      </c>
      <c r="G6" s="105" t="n">
        <v>0.2</v>
      </c>
      <c r="H6" s="105" t="n">
        <v>0</v>
      </c>
      <c r="I6" s="24" t="n"/>
    </row>
    <row r="7" ht="17.5" customHeight="1" s="94" thickBot="1">
      <c r="B7" s="81" t="n"/>
      <c r="C7" s="25" t="inlineStr">
        <is>
          <t>투자목표</t>
        </is>
      </c>
      <c r="D7" s="106">
        <f>Assets!$C3*(D5)*D6</f>
        <v/>
      </c>
      <c r="E7" s="106">
        <f>Assets!$C3*(E5)*E6</f>
        <v/>
      </c>
      <c r="F7" s="106">
        <f>Assets!$C3*(F5)*F6</f>
        <v/>
      </c>
      <c r="G7" s="106">
        <f>Assets!$C3*(G5)*G6</f>
        <v/>
      </c>
      <c r="H7" s="106">
        <f>Assets!$C3*(H5)*H6</f>
        <v/>
      </c>
      <c r="I7" s="107">
        <f>SUM(D7:G7)</f>
        <v/>
      </c>
    </row>
    <row r="8" ht="17.5" customFormat="1" customHeight="1" s="16">
      <c r="B8" s="79" t="inlineStr">
        <is>
          <t>Investment</t>
        </is>
      </c>
      <c r="C8" s="108" t="inlineStr">
        <is>
          <t>보유량</t>
        </is>
      </c>
      <c r="D8" s="109" t="n">
        <v>9606</v>
      </c>
      <c r="E8" s="109" t="n">
        <v>496</v>
      </c>
      <c r="F8" s="109" t="n">
        <v>514</v>
      </c>
      <c r="G8" s="109" t="n">
        <v>1361</v>
      </c>
      <c r="H8" s="109" t="n"/>
      <c r="I8" s="20" t="n"/>
    </row>
    <row r="9" ht="17.5" customFormat="1" customHeight="1" s="16">
      <c r="B9" s="80" t="n"/>
      <c r="C9" s="110" t="inlineStr">
        <is>
          <t>평균단가</t>
        </is>
      </c>
      <c r="D9" s="111" t="n">
        <v>20486</v>
      </c>
      <c r="E9" s="111" t="n">
        <v>125661</v>
      </c>
      <c r="F9" s="111" t="n">
        <v>47832</v>
      </c>
      <c r="G9" s="111" t="n">
        <v>8965</v>
      </c>
      <c r="H9" s="111" t="n"/>
      <c r="I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06">
        <f>F9*F8</f>
        <v/>
      </c>
      <c r="G10" s="106">
        <f>G9*G8</f>
        <v/>
      </c>
      <c r="H10" s="106">
        <f>H9*H8</f>
        <v/>
      </c>
      <c r="I10" s="112">
        <f>SUM(D10:G10)</f>
        <v/>
      </c>
    </row>
    <row r="11" ht="17.5" customHeight="1" s="94" thickBot="1">
      <c r="B11" s="113" t="inlineStr">
        <is>
          <t>매매</t>
        </is>
      </c>
      <c r="C11" s="17" t="inlineStr">
        <is>
          <t>현재가</t>
        </is>
      </c>
      <c r="D11" s="114" t="n">
        <v>25695</v>
      </c>
      <c r="E11" s="114" t="n">
        <v>166780</v>
      </c>
      <c r="F11" s="114" t="n">
        <v>41990</v>
      </c>
      <c r="G11" s="114" t="n">
        <v>7190</v>
      </c>
      <c r="H11" s="114" t="n">
        <v>7760</v>
      </c>
      <c r="I11" s="76" t="n"/>
    </row>
    <row r="12">
      <c r="B12" s="83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4">
        <f>IF(F9&gt;0, (F11-F9)/F9, 0)</f>
        <v/>
      </c>
      <c r="G12" s="4">
        <f>IF(G9&gt;0, (G11-G9)/G9, 0)</f>
        <v/>
      </c>
      <c r="H12" s="4">
        <f>IF(H9&gt;0, (H11-H9)/H9, 0)</f>
        <v/>
      </c>
      <c r="I12" s="18">
        <f>I13/I10</f>
        <v/>
      </c>
    </row>
    <row r="13">
      <c r="B13" s="83" t="n"/>
      <c r="C13" s="90" t="inlineStr">
        <is>
          <t>수익</t>
        </is>
      </c>
      <c r="D13" s="115">
        <f>D10*D12</f>
        <v/>
      </c>
      <c r="E13" s="115">
        <f>E10*E12</f>
        <v/>
      </c>
      <c r="F13" s="115">
        <f>F10*F12</f>
        <v/>
      </c>
      <c r="G13" s="115">
        <f>G10*G12</f>
        <v/>
      </c>
      <c r="H13" s="115">
        <f>H10*H12</f>
        <v/>
      </c>
      <c r="I13" s="116">
        <f>SUM(D13:G13)</f>
        <v/>
      </c>
    </row>
    <row r="14">
      <c r="B14" s="83" t="n"/>
      <c r="C14" s="90" t="inlineStr">
        <is>
          <t>매매</t>
        </is>
      </c>
      <c r="D14" s="115">
        <f>D7-D10</f>
        <v/>
      </c>
      <c r="E14" s="115">
        <f>E7-E10</f>
        <v/>
      </c>
      <c r="F14" s="115">
        <f>F7-F10</f>
        <v/>
      </c>
      <c r="G14" s="115">
        <f>G7-G10</f>
        <v/>
      </c>
      <c r="H14" s="115">
        <f>H7-H10</f>
        <v/>
      </c>
      <c r="I14" s="117">
        <f>SUM(D14:G14)</f>
        <v/>
      </c>
    </row>
    <row r="15" ht="17.5" customHeight="1" s="94">
      <c r="B15" s="83" t="n"/>
      <c r="C15" s="90" t="inlineStr">
        <is>
          <t>추가매수</t>
        </is>
      </c>
      <c r="D15" s="115">
        <f>IFERROR((D7-D10)/D11, 0)</f>
        <v/>
      </c>
      <c r="E15" s="115">
        <f>IFERROR((E7-E10)/E11, 0)</f>
        <v/>
      </c>
      <c r="F15" s="115">
        <f>IFERROR((F7-F10)/F11, 0)</f>
        <v/>
      </c>
      <c r="G15" s="115">
        <f>IFERROR((G7-G10)/G11, 0)</f>
        <v/>
      </c>
      <c r="H15" s="115">
        <f>IFERROR((H7-H10)/H11, 0)</f>
        <v/>
      </c>
      <c r="I15" s="116">
        <f>IFERROR((I7-I10)/I11, 0)</f>
        <v/>
      </c>
    </row>
    <row r="16" ht="17.5" customFormat="1" customHeight="1" s="16">
      <c r="B16" s="83" t="n"/>
      <c r="C16" s="9" t="n">
        <v>0.4</v>
      </c>
      <c r="D16" s="96">
        <f>D$15*Assets!$J3</f>
        <v/>
      </c>
      <c r="E16" s="96">
        <f>E$15*Assets!$J3</f>
        <v/>
      </c>
      <c r="F16" s="96">
        <f>F$15*Assets!$J3</f>
        <v/>
      </c>
      <c r="G16" s="96">
        <f>G$15*Assets!$J3</f>
        <v/>
      </c>
      <c r="H16" s="96">
        <f>H$15*Assets!$J3</f>
        <v/>
      </c>
      <c r="I16" s="116" t="n"/>
    </row>
    <row r="17" ht="17.5" customFormat="1" customHeight="1" s="16">
      <c r="B17" s="83" t="n"/>
      <c r="C17" s="9" t="n">
        <v>0.3</v>
      </c>
      <c r="D17" s="96">
        <f>D$15*Assets!$J4</f>
        <v/>
      </c>
      <c r="E17" s="96">
        <f>E$15*Assets!$J4</f>
        <v/>
      </c>
      <c r="F17" s="96">
        <f>F$15*Assets!$J4</f>
        <v/>
      </c>
      <c r="G17" s="96">
        <f>G$15*Assets!$J4</f>
        <v/>
      </c>
      <c r="H17" s="96">
        <f>H$15*Assets!$J4</f>
        <v/>
      </c>
      <c r="I17" s="116" t="n"/>
    </row>
    <row r="18" ht="17.5" customFormat="1" customHeight="1" s="16">
      <c r="B18" s="83" t="n"/>
      <c r="C18" s="9" t="n">
        <v>0.2</v>
      </c>
      <c r="D18" s="96">
        <f>D$15*Assets!$J5</f>
        <v/>
      </c>
      <c r="E18" s="96">
        <f>E$15*Assets!$J5</f>
        <v/>
      </c>
      <c r="F18" s="96">
        <f>F$15*Assets!$J5</f>
        <v/>
      </c>
      <c r="G18" s="96">
        <f>G$15*Assets!$J5</f>
        <v/>
      </c>
      <c r="H18" s="96">
        <f>H$15*Assets!$J5</f>
        <v/>
      </c>
      <c r="I18" s="116" t="n"/>
    </row>
    <row r="19" ht="17.5" customFormat="1" customHeight="1" s="16" thickBot="1">
      <c r="B19" s="84" t="n"/>
      <c r="C19" s="19" t="n">
        <v>0.1</v>
      </c>
      <c r="D19" s="118">
        <f>D$15*Assets!$J6</f>
        <v/>
      </c>
      <c r="E19" s="118">
        <f>E$15*Assets!$J6</f>
        <v/>
      </c>
      <c r="F19" s="118">
        <f>F$15*Assets!$J6</f>
        <v/>
      </c>
      <c r="G19" s="118">
        <f>G$15*Assets!$J6</f>
        <v/>
      </c>
      <c r="H19" s="118">
        <f>H$15*Assets!$J6</f>
        <v/>
      </c>
      <c r="I19" s="119" t="n"/>
    </row>
    <row r="20" ht="17.5" customFormat="1" customHeight="1" s="16">
      <c r="C20" s="5" t="n"/>
      <c r="D20" s="120">
        <f>D16*D11</f>
        <v/>
      </c>
      <c r="E20" s="120">
        <f>E16*E11</f>
        <v/>
      </c>
      <c r="F20" s="120">
        <f>F16*F11</f>
        <v/>
      </c>
      <c r="G20" s="120">
        <f>G16*G11</f>
        <v/>
      </c>
      <c r="H20" s="120">
        <f>H16*H11</f>
        <v/>
      </c>
      <c r="I20" s="121" t="n"/>
    </row>
    <row r="21" ht="17.5" customFormat="1" customHeight="1" s="16" thickBot="1">
      <c r="C21" s="5" t="n"/>
      <c r="D21" s="120" t="n"/>
      <c r="E21" s="120" t="n"/>
      <c r="F21" s="120" t="n"/>
      <c r="G21" s="120" t="n"/>
      <c r="H21" s="120" t="n"/>
      <c r="I21" s="121" t="n"/>
    </row>
    <row r="22">
      <c r="B22" s="122" t="inlineStr">
        <is>
          <t>목표</t>
        </is>
      </c>
      <c r="C22" s="26" t="inlineStr">
        <is>
          <t>목표수량</t>
        </is>
      </c>
      <c r="D22" s="123">
        <f>D8+D15</f>
        <v/>
      </c>
      <c r="E22" s="123">
        <f>E8+E15</f>
        <v/>
      </c>
      <c r="F22" s="123">
        <f>F8+F15</f>
        <v/>
      </c>
      <c r="G22" s="123">
        <f>G8+G15</f>
        <v/>
      </c>
      <c r="H22" s="123">
        <f>H8+H15</f>
        <v/>
      </c>
      <c r="I22" s="76" t="inlineStr">
        <is>
          <t>투자금 목표</t>
        </is>
      </c>
    </row>
    <row r="23">
      <c r="B23" s="80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124">
        <f>IF(F10&gt;0,(((F8*F9)+(F15*F11))/(F8+F15)),0)</f>
        <v/>
      </c>
      <c r="G23" s="124">
        <f>IF(G10&gt;0,(((G8*G9)+(G15*G11))/(G8+G15)),0)</f>
        <v/>
      </c>
      <c r="H23" s="124">
        <f>IF(H10&gt;0,(((H8*H9)+(H15*H11))/(H8+H15)),0)</f>
        <v/>
      </c>
      <c r="I23" s="77" t="n"/>
    </row>
    <row r="24" ht="17.5" customHeight="1" s="94" thickBot="1">
      <c r="B24" s="81" t="n"/>
      <c r="C24" s="22" t="inlineStr">
        <is>
          <t>투자금</t>
        </is>
      </c>
      <c r="D24" s="118">
        <f>D22*D23</f>
        <v/>
      </c>
      <c r="E24" s="118">
        <f>E22*E23</f>
        <v/>
      </c>
      <c r="F24" s="118">
        <f>F22*F23</f>
        <v/>
      </c>
      <c r="G24" s="118">
        <f>G22*G23</f>
        <v/>
      </c>
      <c r="H24" s="118">
        <f>H22*H23</f>
        <v/>
      </c>
      <c r="I24" s="125">
        <f>SUM(D24:G24)</f>
        <v/>
      </c>
    </row>
    <row r="25" ht="17.5" customHeight="1" s="94">
      <c r="H25" s="126" t="n"/>
    </row>
    <row r="26" ht="17.5" customFormat="1" customHeight="1" s="16">
      <c r="B26" s="127" t="inlineStr">
        <is>
          <t>배당,분배
(세후)</t>
        </is>
      </c>
      <c r="C26" s="33" t="inlineStr">
        <is>
          <t>함계</t>
        </is>
      </c>
      <c r="D26" s="32" t="n"/>
      <c r="E26" s="32" t="n"/>
      <c r="F26" s="32" t="n"/>
      <c r="G26" s="32" t="n"/>
      <c r="H26" s="124" t="n"/>
      <c r="I26" s="128">
        <f>SUM(I27:I31)</f>
        <v/>
      </c>
    </row>
    <row r="27" ht="17" customHeight="1" s="94">
      <c r="B27" s="129" t="n"/>
      <c r="C27" s="10" t="n">
        <v>46148</v>
      </c>
      <c r="D27" s="96" t="n"/>
      <c r="E27" s="96" t="n">
        <v>100905</v>
      </c>
      <c r="F27" s="32" t="n"/>
      <c r="G27" s="10" t="n"/>
      <c r="H27" s="96" t="n"/>
      <c r="I27" s="130">
        <f>SUM(D27:H27)</f>
        <v/>
      </c>
    </row>
    <row r="28" ht="17.5" customHeight="1" s="94">
      <c r="B28" s="129" t="n"/>
      <c r="C28" s="10" t="n">
        <v>46161</v>
      </c>
      <c r="D28" s="96" t="n">
        <v>2549100</v>
      </c>
      <c r="E28" s="96" t="n"/>
      <c r="F28" s="96" t="n"/>
      <c r="G28" s="96" t="n"/>
      <c r="H28" s="96" t="n"/>
      <c r="I28" s="130">
        <f>SUM(D28:H28)</f>
        <v/>
      </c>
      <c r="J28" s="131">
        <f>SUM(I27:I28)</f>
        <v/>
      </c>
    </row>
    <row r="29">
      <c r="B29" s="129" t="n"/>
      <c r="C29" s="10" t="n">
        <v>46188</v>
      </c>
      <c r="D29" s="96" t="n">
        <v>3362100</v>
      </c>
      <c r="E29" s="96" t="n"/>
      <c r="F29" s="96" t="n"/>
      <c r="G29" s="96" t="n"/>
      <c r="H29" s="96" t="n"/>
      <c r="I29" s="130">
        <f>SUM(D29:H29)</f>
        <v/>
      </c>
      <c r="J29" s="131" t="n"/>
    </row>
    <row r="30"/>
    <row r="31">
      <c r="E31" s="1" t="n"/>
    </row>
  </sheetData>
  <mergeCells count="8">
    <mergeCell ref="I22:I23"/>
    <mergeCell ref="I2:I4"/>
    <mergeCell ref="B5:B7"/>
    <mergeCell ref="B26:B29"/>
    <mergeCell ref="B8:B10"/>
    <mergeCell ref="B11:B19"/>
    <mergeCell ref="B2:B4"/>
    <mergeCell ref="B22:B24"/>
  </mergeCells>
  <conditionalFormatting sqref="D15">
    <cfRule type="expression" priority="49" dxfId="0">
      <formula>#REF!+#REF!&gt;0</formula>
    </cfRule>
  </conditionalFormatting>
  <conditionalFormatting sqref="D16:D19">
    <cfRule type="expression" priority="57" dxfId="0">
      <formula>#REF!+#REF!&gt;0</formula>
    </cfRule>
  </conditionalFormatting>
  <conditionalFormatting sqref="D20:G21">
    <cfRule type="expression" priority="58" dxfId="0">
      <formula>B20+#REF!&gt;0</formula>
    </cfRule>
  </conditionalFormatting>
  <conditionalFormatting sqref="D12:I12">
    <cfRule type="expression" priority="6" dxfId="2" stopIfTrue="1">
      <formula>D12&gt;0</formula>
    </cfRule>
  </conditionalFormatting>
  <conditionalFormatting sqref="D12:I13">
    <cfRule type="expression" priority="2" dxfId="3">
      <formula>D12&lt;0</formula>
    </cfRule>
  </conditionalFormatting>
  <conditionalFormatting sqref="D13:I13">
    <cfRule type="expression" priority="5" dxfId="2">
      <formula>D13&gt;0</formula>
    </cfRule>
  </conditionalFormatting>
  <conditionalFormatting sqref="D14:I14">
    <cfRule type="expression" priority="4" dxfId="0">
      <formula>#REF!+C14&gt;0</formula>
    </cfRule>
  </conditionalFormatting>
  <conditionalFormatting sqref="E15:H15">
    <cfRule type="expression" priority="3" dxfId="0">
      <formula>C15+#REF!&gt;0</formula>
    </cfRule>
  </conditionalFormatting>
  <conditionalFormatting sqref="E16:H19">
    <cfRule type="expression" priority="1" dxfId="0">
      <formula>#REF!+#REF!&gt;0</formula>
    </cfRule>
  </conditionalFormatting>
  <conditionalFormatting sqref="H20:H21">
    <cfRule type="expression" priority="15" dxfId="0">
      <formula>F20+#REF!&gt;0</formula>
    </cfRule>
  </conditionalFormatting>
  <conditionalFormatting sqref="I15:I21">
    <cfRule type="expression" priority="29" dxfId="0">
      <formula>G15+#REF!&gt;0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0"/>
  <sheetViews>
    <sheetView workbookViewId="0">
      <selection activeCell="D12" sqref="D12"/>
    </sheetView>
  </sheetViews>
  <sheetFormatPr baseColWidth="8" defaultRowHeight="17"/>
  <cols>
    <col width="3.33203125" customWidth="1" style="94" min="1" max="1"/>
    <col width="11" bestFit="1" customWidth="1" style="94" min="2" max="2"/>
    <col width="13" bestFit="1" customWidth="1" style="94" min="3" max="3"/>
    <col width="39" customWidth="1" style="94" min="4" max="4"/>
    <col width="36.6640625" customWidth="1" style="94" min="5" max="5"/>
    <col width="13.83203125" bestFit="1" customWidth="1" style="94" min="6" max="6"/>
    <col width="10.58203125" bestFit="1" customWidth="1" style="94" min="7" max="7"/>
    <col width="14.25" bestFit="1" customWidth="1" style="94" min="8" max="8"/>
    <col width="13.1640625" bestFit="1" customWidth="1" style="94" min="9" max="9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2</v>
      </c>
      <c r="F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494300</t>
        </is>
      </c>
      <c r="E3" s="6" t="n"/>
      <c r="F3" s="78" t="n"/>
    </row>
    <row r="4" ht="17.5" customHeight="1" s="94" thickBot="1">
      <c r="B4" s="81" t="n"/>
      <c r="C4" s="22" t="inlineStr">
        <is>
          <t>종목</t>
        </is>
      </c>
      <c r="D4" s="28" t="inlineStr">
        <is>
          <t>KODEX 미국나스닥100데일리커버드콜OTM</t>
        </is>
      </c>
      <c r="E4" s="28" t="n"/>
      <c r="F4" s="77" t="n"/>
    </row>
    <row r="5">
      <c r="B5" s="79" t="inlineStr">
        <is>
          <t>Plane</t>
        </is>
      </c>
      <c r="C5" s="17" t="inlineStr">
        <is>
          <t>투자비중</t>
        </is>
      </c>
      <c r="D5" s="104" t="n">
        <v>1</v>
      </c>
      <c r="E5" s="104" t="n"/>
      <c r="F5" s="23">
        <f>SUM(A5:E5)</f>
        <v/>
      </c>
    </row>
    <row r="6" ht="17.5" customHeight="1" s="94">
      <c r="B6" s="80" t="n"/>
      <c r="C6" s="90" t="inlineStr">
        <is>
          <t>매수목표</t>
        </is>
      </c>
      <c r="D6" s="105" t="n">
        <v>0.9</v>
      </c>
      <c r="E6" s="105" t="n"/>
      <c r="F6" s="24" t="n"/>
    </row>
    <row r="7" ht="17.5" customHeight="1" s="94" thickBot="1">
      <c r="B7" s="81" t="n"/>
      <c r="C7" s="25" t="inlineStr">
        <is>
          <t>투자한도</t>
        </is>
      </c>
      <c r="D7" s="106">
        <f>Assets!$C4*(D5)*D6</f>
        <v/>
      </c>
      <c r="E7" s="106">
        <f>Assets!$C4*(E5)*E6</f>
        <v/>
      </c>
      <c r="F7" s="112">
        <f>SUM(D7:E7)</f>
        <v/>
      </c>
    </row>
    <row r="8" ht="17.5" customHeight="1" s="94">
      <c r="B8" s="79" t="inlineStr">
        <is>
          <t>Investment</t>
        </is>
      </c>
      <c r="C8" s="108" t="inlineStr">
        <is>
          <t>보유량</t>
        </is>
      </c>
      <c r="D8" s="109" t="n">
        <v>11281</v>
      </c>
      <c r="E8" s="109" t="n"/>
      <c r="F8" s="20" t="n"/>
    </row>
    <row r="9" ht="17.5" customHeight="1" s="94">
      <c r="B9" s="80" t="n"/>
      <c r="C9" s="110" t="inlineStr">
        <is>
          <t>평균단가</t>
        </is>
      </c>
      <c r="D9" s="111" t="n">
        <v>10131</v>
      </c>
      <c r="E9" s="111" t="n"/>
      <c r="F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12">
        <f>SUM(D10:E10)</f>
        <v/>
      </c>
    </row>
    <row r="11">
      <c r="B11" s="132" t="inlineStr">
        <is>
          <t>매매</t>
        </is>
      </c>
      <c r="C11" s="17" t="inlineStr">
        <is>
          <t>현재가</t>
        </is>
      </c>
      <c r="D11" s="114" t="n">
        <v>10895</v>
      </c>
      <c r="E11" s="133" t="n"/>
      <c r="F11" s="76" t="n"/>
    </row>
    <row r="12">
      <c r="B12" s="80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8">
        <f>IFERROR(F13/F10, 0)</f>
        <v/>
      </c>
    </row>
    <row r="13">
      <c r="B13" s="80" t="n"/>
      <c r="C13" s="90" t="inlineStr">
        <is>
          <t>수익</t>
        </is>
      </c>
      <c r="D13" s="115">
        <f>D10*D12</f>
        <v/>
      </c>
      <c r="E13" s="115">
        <f>E10*E12</f>
        <v/>
      </c>
      <c r="F13" s="116">
        <f>SUM(D13:E13)</f>
        <v/>
      </c>
    </row>
    <row r="14">
      <c r="B14" s="80" t="n"/>
      <c r="C14" s="90" t="inlineStr">
        <is>
          <t>추가매수(금액)</t>
        </is>
      </c>
      <c r="D14" s="115">
        <f>D7-D10</f>
        <v/>
      </c>
      <c r="E14" s="96">
        <f>E7-E10</f>
        <v/>
      </c>
      <c r="F14" s="117">
        <f>SUM(A14:D14)</f>
        <v/>
      </c>
    </row>
    <row r="15" ht="17.5" customHeight="1" s="94">
      <c r="B15" s="80" t="n"/>
      <c r="C15" s="90" t="inlineStr">
        <is>
          <t>추가매수(주)</t>
        </is>
      </c>
      <c r="D15" s="115">
        <f>IFERROR((D7-D10)/D11, 0)</f>
        <v/>
      </c>
      <c r="E15" s="115">
        <f>IFERROR((E7-E10)/E11, 0)</f>
        <v/>
      </c>
      <c r="F15" s="116">
        <f>IFERROR((F7-F10)/F11, 0)</f>
        <v/>
      </c>
    </row>
    <row r="16" ht="17.5" customFormat="1" customHeight="1" s="16">
      <c r="B16" s="80" t="n"/>
      <c r="C16" s="9" t="n">
        <v>0.4</v>
      </c>
      <c r="D16" s="96">
        <f>D$15*Assets!$J3</f>
        <v/>
      </c>
      <c r="E16" s="96">
        <f>E$15*Assets!$J3</f>
        <v/>
      </c>
      <c r="F16" s="116" t="n"/>
    </row>
    <row r="17" ht="17.5" customFormat="1" customHeight="1" s="16">
      <c r="B17" s="80" t="n"/>
      <c r="C17" s="9" t="n">
        <v>0.3</v>
      </c>
      <c r="D17" s="96">
        <f>D$15*Assets!$J4</f>
        <v/>
      </c>
      <c r="E17" s="96">
        <f>E$15*Assets!$J4</f>
        <v/>
      </c>
      <c r="F17" s="116" t="n"/>
    </row>
    <row r="18" ht="17.5" customFormat="1" customHeight="1" s="16">
      <c r="B18" s="80" t="n"/>
      <c r="C18" s="9" t="n">
        <v>0.2</v>
      </c>
      <c r="D18" s="96">
        <f>D$15*Assets!$J5</f>
        <v/>
      </c>
      <c r="E18" s="96">
        <f>E$15*Assets!$J5</f>
        <v/>
      </c>
      <c r="F18" s="116" t="n"/>
    </row>
    <row r="19" ht="17.5" customFormat="1" customHeight="1" s="16" thickBot="1">
      <c r="B19" s="92" t="n"/>
      <c r="C19" s="19" t="n">
        <v>0.1</v>
      </c>
      <c r="D19" s="118">
        <f>D$15*Assets!$J6</f>
        <v/>
      </c>
      <c r="E19" s="118">
        <f>E$15*Assets!$J6</f>
        <v/>
      </c>
      <c r="F19" s="119" t="n"/>
    </row>
    <row r="20" ht="17.5" customFormat="1" customHeight="1" s="16">
      <c r="C20" s="5" t="n"/>
      <c r="D20" s="120">
        <f>D11*D16</f>
        <v/>
      </c>
      <c r="E20" s="121" t="n"/>
      <c r="F20" s="121" t="n"/>
    </row>
    <row r="21" ht="17.5" customFormat="1" customHeight="1" s="16">
      <c r="C21" s="5" t="n"/>
      <c r="D21" s="120" t="n"/>
      <c r="E21" s="121" t="n"/>
      <c r="F21" s="121" t="n"/>
    </row>
    <row r="22">
      <c r="B22" s="100" t="inlineStr">
        <is>
          <t>목표</t>
        </is>
      </c>
      <c r="C22" s="33" t="inlineStr">
        <is>
          <t>목표수량</t>
        </is>
      </c>
      <c r="D22" s="134">
        <f>D8+D15</f>
        <v/>
      </c>
      <c r="E22" s="134">
        <f>E8+E15</f>
        <v/>
      </c>
      <c r="F22" s="90" t="inlineStr">
        <is>
          <t>투자금 목표</t>
        </is>
      </c>
    </row>
    <row r="23">
      <c r="B23" s="88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89" t="n"/>
    </row>
    <row r="24" ht="17.5" customHeight="1" s="94">
      <c r="B24" s="89" t="n"/>
      <c r="C24" s="90" t="inlineStr">
        <is>
          <t>목표투자금</t>
        </is>
      </c>
      <c r="D24" s="135">
        <f>D22*D23</f>
        <v/>
      </c>
      <c r="E24" s="135">
        <f>E22*E23</f>
        <v/>
      </c>
      <c r="F24" s="136">
        <f>SUM(D24:E24)</f>
        <v/>
      </c>
    </row>
    <row r="25"/>
    <row r="26" customFormat="1" s="16">
      <c r="B26" s="137" t="inlineStr">
        <is>
          <t>배당,분배
(세후)</t>
        </is>
      </c>
      <c r="C26" s="90" t="inlineStr">
        <is>
          <t>합계</t>
        </is>
      </c>
      <c r="D26" s="32" t="n"/>
      <c r="E26" s="32" t="n"/>
      <c r="F26" s="128">
        <f>SUM(F27:F34)</f>
        <v/>
      </c>
    </row>
    <row r="27" ht="17" customHeight="1" s="94">
      <c r="B27" s="88" t="n"/>
      <c r="C27" s="10" t="n">
        <v>46148</v>
      </c>
      <c r="D27" s="96" t="n">
        <v>1434641</v>
      </c>
      <c r="E27" s="96" t="n">
        <v>40664</v>
      </c>
      <c r="F27" s="130">
        <f>SUM(D27:E27)</f>
        <v/>
      </c>
      <c r="G27" s="131">
        <f>SUM(F27)</f>
        <v/>
      </c>
      <c r="H27" s="36" t="n"/>
    </row>
    <row r="28">
      <c r="B28" s="89" t="n"/>
      <c r="C28" s="10" t="n">
        <v>46175</v>
      </c>
      <c r="D28" s="96" t="n">
        <v>1559376</v>
      </c>
      <c r="E28" s="96" t="n">
        <v>0</v>
      </c>
      <c r="F28" s="130">
        <f>SUM(D28:E28)</f>
        <v/>
      </c>
      <c r="G28" s="131">
        <f>SUM(F28)</f>
        <v/>
      </c>
      <c r="H28" s="138" t="n"/>
      <c r="I28" s="138" t="n"/>
    </row>
    <row r="29">
      <c r="D29" s="120" t="n"/>
      <c r="H29" s="138" t="n"/>
      <c r="I29" s="138" t="n"/>
    </row>
    <row r="30">
      <c r="D30" s="120" t="n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6:D19">
    <cfRule type="expression" priority="3" dxfId="0">
      <formula>#REF!+#REF!&gt;0</formula>
    </cfRule>
  </conditionalFormatting>
  <conditionalFormatting sqref="D15:E15">
    <cfRule type="expression" priority="2" dxfId="0">
      <formula>#REF!+#REF!&gt;0</formula>
    </cfRule>
  </conditionalFormatting>
  <conditionalFormatting sqref="D12:F12">
    <cfRule type="expression" priority="9" dxfId="2" stopIfTrue="1">
      <formula>D12&gt;0</formula>
    </cfRule>
  </conditionalFormatting>
  <conditionalFormatting sqref="D12:F13">
    <cfRule type="expression" priority="7" dxfId="3">
      <formula>D12&lt;0</formula>
    </cfRule>
  </conditionalFormatting>
  <conditionalFormatting sqref="D13:F13">
    <cfRule type="expression" priority="17" dxfId="2">
      <formula>D13&gt;0</formula>
    </cfRule>
  </conditionalFormatting>
  <conditionalFormatting sqref="D14:F14">
    <cfRule type="expression" priority="13" dxfId="0">
      <formula>#REF!+C14&gt;0</formula>
    </cfRule>
  </conditionalFormatting>
  <conditionalFormatting sqref="E16:E19">
    <cfRule type="expression" priority="1" dxfId="0">
      <formula>#REF!+#REF!&gt;0</formula>
    </cfRule>
  </conditionalFormatting>
  <conditionalFormatting sqref="E20:F21 F15:F19">
    <cfRule type="expression" priority="12" dxfId="0">
      <formula>C15+#REF!&gt;0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8"/>
  <sheetViews>
    <sheetView workbookViewId="0">
      <selection activeCell="D43" sqref="D43"/>
    </sheetView>
  </sheetViews>
  <sheetFormatPr baseColWidth="8" defaultRowHeight="17"/>
  <cols>
    <col width="3.6640625" customWidth="1" style="94" min="1" max="1"/>
    <col width="11" bestFit="1" customWidth="1" style="94" min="2" max="2"/>
    <col width="13" bestFit="1" customWidth="1" style="94" min="3" max="3"/>
    <col width="38.83203125" bestFit="1" customWidth="1" style="94" min="4" max="4"/>
    <col width="36.83203125" customWidth="1" style="94" min="5" max="5"/>
    <col width="12.6640625" bestFit="1" customWidth="1" style="94" min="6" max="6"/>
    <col width="9.08203125" bestFit="1" customWidth="1" style="94" min="7" max="7"/>
  </cols>
  <sheetData>
    <row r="1" ht="17.5" customHeight="1" s="94" thickBot="1"/>
    <row r="2">
      <c r="B2" s="79" t="inlineStr">
        <is>
          <t>ITEMs</t>
        </is>
      </c>
      <c r="C2" s="26" t="inlineStr">
        <is>
          <t>#</t>
        </is>
      </c>
      <c r="D2" s="27" t="n">
        <v>1</v>
      </c>
      <c r="E2" s="27" t="n">
        <v>2</v>
      </c>
      <c r="F2" s="76" t="inlineStr">
        <is>
          <t>합계</t>
        </is>
      </c>
    </row>
    <row r="3">
      <c r="B3" s="80" t="n"/>
      <c r="C3" s="33" t="inlineStr">
        <is>
          <t>코드</t>
        </is>
      </c>
      <c r="D3" s="6" t="inlineStr">
        <is>
          <t>481060</t>
        </is>
      </c>
      <c r="E3" s="7" t="n"/>
      <c r="F3" s="78" t="n"/>
    </row>
    <row r="4" ht="17.5" customHeight="1" s="94" thickBot="1">
      <c r="B4" s="81" t="n"/>
      <c r="C4" s="22" t="inlineStr">
        <is>
          <t>종목</t>
        </is>
      </c>
      <c r="D4" s="28" t="inlineStr">
        <is>
          <t>KODEX 미국30년국채타겟커버드콜(합성H)</t>
        </is>
      </c>
      <c r="E4" s="28" t="n"/>
      <c r="F4" s="77" t="n"/>
    </row>
    <row r="5">
      <c r="B5" s="79" t="inlineStr">
        <is>
          <t>Plane</t>
        </is>
      </c>
      <c r="C5" s="17" t="inlineStr">
        <is>
          <t>투자비중</t>
        </is>
      </c>
      <c r="D5" s="104" t="n">
        <v>1</v>
      </c>
      <c r="E5" s="104" t="n"/>
      <c r="F5" s="23">
        <f>SUM(A5:E5)</f>
        <v/>
      </c>
    </row>
    <row r="6">
      <c r="B6" s="80" t="n"/>
      <c r="C6" s="90" t="inlineStr">
        <is>
          <t>매수목표</t>
        </is>
      </c>
      <c r="D6" s="105" t="n">
        <v>1</v>
      </c>
      <c r="E6" s="105" t="n"/>
      <c r="F6" s="24" t="n"/>
    </row>
    <row r="7" ht="17.5" customHeight="1" s="94" thickBot="1">
      <c r="B7" s="81" t="n"/>
      <c r="C7" s="25" t="inlineStr">
        <is>
          <t>투자한도</t>
        </is>
      </c>
      <c r="D7" s="106">
        <f>Assets!$C5*(D5)*D6</f>
        <v/>
      </c>
      <c r="E7" s="106">
        <f>Assets!$C5*(E5)*E6</f>
        <v/>
      </c>
      <c r="F7" s="112">
        <f>SUM(A7:D7)</f>
        <v/>
      </c>
    </row>
    <row r="8">
      <c r="B8" s="79" t="inlineStr">
        <is>
          <t>Investment</t>
        </is>
      </c>
      <c r="C8" s="108" t="inlineStr">
        <is>
          <t>보유량</t>
        </is>
      </c>
      <c r="D8" s="109" t="n">
        <v>1771</v>
      </c>
      <c r="E8" s="109" t="n"/>
      <c r="F8" s="20" t="n"/>
    </row>
    <row r="9">
      <c r="B9" s="80" t="n"/>
      <c r="C9" s="110" t="inlineStr">
        <is>
          <t>평균단가</t>
        </is>
      </c>
      <c r="D9" s="111" t="n">
        <v>7688</v>
      </c>
      <c r="E9" s="111" t="n"/>
      <c r="F9" s="21" t="n"/>
    </row>
    <row r="10" ht="17.5" customHeight="1" s="94" thickBot="1">
      <c r="B10" s="81" t="n"/>
      <c r="C10" s="22" t="inlineStr">
        <is>
          <t>투자금</t>
        </is>
      </c>
      <c r="D10" s="106">
        <f>D9*D8</f>
        <v/>
      </c>
      <c r="E10" s="106">
        <f>E9*E8</f>
        <v/>
      </c>
      <c r="F10" s="112">
        <f>SUM(A10:D10)</f>
        <v/>
      </c>
    </row>
    <row r="11">
      <c r="B11" s="132" t="inlineStr">
        <is>
          <t>매매</t>
        </is>
      </c>
      <c r="C11" s="17" t="inlineStr">
        <is>
          <t>현재가</t>
        </is>
      </c>
      <c r="D11" s="114" t="n">
        <v>7760</v>
      </c>
      <c r="E11" s="139" t="n"/>
      <c r="F11" s="76" t="n"/>
    </row>
    <row r="12">
      <c r="B12" s="80" t="n"/>
      <c r="C12" s="33" t="inlineStr">
        <is>
          <t>수익률</t>
        </is>
      </c>
      <c r="D12" s="4">
        <f>IF(D9&gt;0, (D11-D9)/D9, 0)</f>
        <v/>
      </c>
      <c r="E12" s="4">
        <f>IF(E9&gt;0, (E11-E9)/E9, 0)</f>
        <v/>
      </c>
      <c r="F12" s="18">
        <f>IFERROR(F13/F10, 0)</f>
        <v/>
      </c>
    </row>
    <row r="13">
      <c r="B13" s="80" t="n"/>
      <c r="C13" s="90" t="inlineStr">
        <is>
          <t>수익</t>
        </is>
      </c>
      <c r="D13" s="115">
        <f>D10*D12</f>
        <v/>
      </c>
      <c r="E13" s="115">
        <f>E10*E12</f>
        <v/>
      </c>
      <c r="F13" s="116">
        <f>SUM(A13:D13)</f>
        <v/>
      </c>
    </row>
    <row r="14">
      <c r="B14" s="80" t="n"/>
      <c r="C14" s="90" t="inlineStr">
        <is>
          <t>매수한도</t>
        </is>
      </c>
      <c r="D14" s="96">
        <f>D7-D10</f>
        <v/>
      </c>
      <c r="E14" s="96">
        <f>E7-E10</f>
        <v/>
      </c>
      <c r="F14" s="117">
        <f>SUM(A14:D14)</f>
        <v/>
      </c>
    </row>
    <row r="15">
      <c r="B15" s="80" t="n"/>
      <c r="C15" s="90" t="inlineStr">
        <is>
          <t>추가매수</t>
        </is>
      </c>
      <c r="D15" s="115">
        <f>IFERROR((D7-D10)/D11, 0)</f>
        <v/>
      </c>
      <c r="E15" s="115">
        <f>IFERROR((E7-E10)/E11, 0)</f>
        <v/>
      </c>
      <c r="F15" s="116">
        <f>IFERROR((F7-F10)/F11, 0)</f>
        <v/>
      </c>
    </row>
    <row r="16" customFormat="1" s="16">
      <c r="B16" s="80" t="n"/>
      <c r="C16" s="9" t="n">
        <v>0.4</v>
      </c>
      <c r="D16" s="96">
        <f>D$15*Assets!$J3</f>
        <v/>
      </c>
      <c r="E16" s="96">
        <f>E$15*Assets!$J3</f>
        <v/>
      </c>
      <c r="F16" s="116" t="n"/>
    </row>
    <row r="17" customFormat="1" s="16">
      <c r="B17" s="80" t="n"/>
      <c r="C17" s="9" t="n">
        <v>0.3</v>
      </c>
      <c r="D17" s="96">
        <f>D$15*Assets!$J4</f>
        <v/>
      </c>
      <c r="E17" s="96">
        <f>E$15*Assets!$J4</f>
        <v/>
      </c>
      <c r="F17" s="116" t="n"/>
    </row>
    <row r="18" customFormat="1" s="16">
      <c r="B18" s="80" t="n"/>
      <c r="C18" s="9" t="n">
        <v>0.2</v>
      </c>
      <c r="D18" s="96">
        <f>D$15*Assets!$J5</f>
        <v/>
      </c>
      <c r="E18" s="96">
        <f>E$15*Assets!$J5</f>
        <v/>
      </c>
      <c r="F18" s="116" t="n"/>
    </row>
    <row r="19" ht="17.5" customFormat="1" customHeight="1" s="16" thickBot="1">
      <c r="B19" s="92" t="n"/>
      <c r="C19" s="19" t="n">
        <v>0.1</v>
      </c>
      <c r="D19" s="118">
        <f>D$15*Assets!$J6</f>
        <v/>
      </c>
      <c r="E19" s="118">
        <f>E$15*Assets!$J6</f>
        <v/>
      </c>
      <c r="F19" s="119" t="n"/>
    </row>
    <row r="20" customFormat="1" s="16">
      <c r="C20" s="5" t="n"/>
      <c r="D20" s="120">
        <f>D11*D16</f>
        <v/>
      </c>
      <c r="E20" s="121" t="n"/>
      <c r="F20" s="121" t="n"/>
    </row>
    <row r="21" customFormat="1" s="16">
      <c r="C21" s="5" t="n"/>
      <c r="D21" s="121" t="n"/>
      <c r="E21" s="121" t="n"/>
      <c r="F21" s="121" t="n"/>
    </row>
    <row r="22">
      <c r="B22" s="100" t="inlineStr">
        <is>
          <t>목표</t>
        </is>
      </c>
      <c r="C22" s="33" t="inlineStr">
        <is>
          <t>목표수량</t>
        </is>
      </c>
      <c r="D22" s="134">
        <f>D8+D15</f>
        <v/>
      </c>
      <c r="E22" s="134">
        <f>E8+E15</f>
        <v/>
      </c>
      <c r="F22" s="90" t="inlineStr">
        <is>
          <t>투자금 목표</t>
        </is>
      </c>
    </row>
    <row r="23">
      <c r="B23" s="88" t="n"/>
      <c r="C23" s="33" t="inlineStr">
        <is>
          <t>목표평단가</t>
        </is>
      </c>
      <c r="D23" s="124">
        <f>IF(D10&gt;0,(((D8*D9)+(D15*D11))/(D8+D15)),0)</f>
        <v/>
      </c>
      <c r="E23" s="124">
        <f>IF(E10&gt;0,(((E8*E9)+(E15*E11))/(E8+E15)),0)</f>
        <v/>
      </c>
      <c r="F23" s="89" t="n"/>
    </row>
    <row r="24">
      <c r="B24" s="89" t="n"/>
      <c r="C24" s="90" t="inlineStr">
        <is>
          <t>목표투자금</t>
        </is>
      </c>
      <c r="D24" s="135">
        <f>D22*D23</f>
        <v/>
      </c>
      <c r="E24" s="135">
        <f>E22*E23</f>
        <v/>
      </c>
      <c r="F24" s="136">
        <f>SUM(A24:D24)</f>
        <v/>
      </c>
    </row>
    <row r="25"/>
    <row r="26" customFormat="1" s="16">
      <c r="B26" s="140" t="inlineStr">
        <is>
          <t>배당,분배
(세후)</t>
        </is>
      </c>
      <c r="C26" s="90" t="inlineStr">
        <is>
          <t>합계</t>
        </is>
      </c>
      <c r="D26" s="32" t="n"/>
      <c r="E26" s="32" t="n"/>
      <c r="F26" s="128">
        <f>SUM(F27:F28)</f>
        <v/>
      </c>
    </row>
    <row r="27" ht="17" customHeight="1" s="94">
      <c r="C27" s="10" t="n">
        <v>46161</v>
      </c>
      <c r="D27" s="96" t="n">
        <v>136591</v>
      </c>
      <c r="E27" s="10" t="n"/>
      <c r="F27" s="130">
        <f>SUM(D27:E27)</f>
        <v/>
      </c>
      <c r="G27" s="131" t="n"/>
    </row>
    <row r="28">
      <c r="B28" s="95" t="n"/>
      <c r="C28" s="10" t="n">
        <v>46190</v>
      </c>
      <c r="D28" s="96" t="n">
        <v>138130</v>
      </c>
      <c r="E28" s="96" t="n"/>
      <c r="F28" s="128">
        <f>SUM(D28:E28)</f>
        <v/>
      </c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5">
    <cfRule type="expression" priority="3" dxfId="0">
      <formula>#REF!+#REF!&gt;0</formula>
    </cfRule>
  </conditionalFormatting>
  <conditionalFormatting sqref="D16:D19">
    <cfRule type="expression" priority="4" dxfId="0">
      <formula>#REF!+#REF!&gt;0</formula>
    </cfRule>
  </conditionalFormatting>
  <conditionalFormatting sqref="D12:E12">
    <cfRule type="expression" priority="20" dxfId="2" stopIfTrue="1">
      <formula>D12&gt;0</formula>
    </cfRule>
  </conditionalFormatting>
  <conditionalFormatting sqref="D12:E13">
    <cfRule type="expression" priority="17" dxfId="3">
      <formula>D12&lt;0</formula>
    </cfRule>
  </conditionalFormatting>
  <conditionalFormatting sqref="D13:E13">
    <cfRule type="expression" priority="18" dxfId="2">
      <formula>D13&gt;0</formula>
    </cfRule>
  </conditionalFormatting>
  <conditionalFormatting sqref="D14:F14">
    <cfRule type="expression" priority="14" dxfId="0">
      <formula>#REF!+C14&gt;0</formula>
    </cfRule>
  </conditionalFormatting>
  <conditionalFormatting sqref="E15:E19">
    <cfRule type="expression" priority="1" dxfId="0">
      <formula>#REF!+#REF!&gt;0</formula>
    </cfRule>
  </conditionalFormatting>
  <conditionalFormatting sqref="F12">
    <cfRule type="expression" priority="9" dxfId="3">
      <formula>F12&lt;0</formula>
    </cfRule>
    <cfRule type="expression" priority="10" dxfId="2" stopIfTrue="1">
      <formula>F12&gt;0</formula>
    </cfRule>
  </conditionalFormatting>
  <conditionalFormatting sqref="F13">
    <cfRule type="expression" priority="11" dxfId="3">
      <formula>E13&lt;0</formula>
    </cfRule>
    <cfRule type="expression" priority="12" dxfId="2">
      <formula>E13&gt;0</formula>
    </cfRule>
  </conditionalFormatting>
  <conditionalFormatting sqref="D20:F21 F15">
    <cfRule type="expression" priority="13" dxfId="0">
      <formula>B15+#REF!&gt;0</formula>
    </cfRule>
  </conditionalFormatting>
  <conditionalFormatting sqref="F16:F19">
    <cfRule type="expression" priority="8" dxfId="0">
      <formula>D16+#REF!&gt;0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2026-06-23T11:05:01Z</dcterms:modified>
  <cp:lastModifiedBy>TAEHO HWANG</cp:lastModifiedBy>
  <cp:version>1300.0100.01</cp:version>
  <cp:revision>2</cp:revision>
  <cp:lastPrinted>2026-01-22T00:39:54Z</cp:lastPrinted>
</cp:coreProperties>
</file>