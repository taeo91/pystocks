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C449BDC7-4A94-4839-87BE-56C74B00F592}" xr6:coauthVersionLast="47" xr6:coauthVersionMax="47" xr10:uidLastSave="{00000000-0000-0000-0000-000000000000}"/>
  <bookViews>
    <workbookView xWindow="49020" yWindow="470" windowWidth="27020" windowHeight="1961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F28" i="4"/>
  <c r="C23" i="1" s="1"/>
  <c r="F27" i="4"/>
  <c r="F26" i="4" s="1"/>
  <c r="E23" i="4"/>
  <c r="E13" i="4"/>
  <c r="E12" i="4"/>
  <c r="D12" i="4"/>
  <c r="E10" i="4"/>
  <c r="D10" i="4"/>
  <c r="F5" i="4"/>
  <c r="F28" i="3"/>
  <c r="G28" i="3" s="1"/>
  <c r="F27" i="3"/>
  <c r="F26" i="3" s="1"/>
  <c r="E23" i="3"/>
  <c r="E13" i="3"/>
  <c r="E12" i="3"/>
  <c r="D12" i="3"/>
  <c r="E10" i="3"/>
  <c r="D10" i="3"/>
  <c r="F5" i="3"/>
  <c r="I29" i="2"/>
  <c r="I28" i="2"/>
  <c r="I27" i="2"/>
  <c r="I26" i="2" s="1"/>
  <c r="H13" i="2"/>
  <c r="H12" i="2"/>
  <c r="G12" i="2"/>
  <c r="G13" i="2" s="1"/>
  <c r="F12" i="2"/>
  <c r="F13" i="2" s="1"/>
  <c r="E12" i="2"/>
  <c r="E13" i="2" s="1"/>
  <c r="D12" i="2"/>
  <c r="D13" i="2" s="1"/>
  <c r="I10" i="2"/>
  <c r="D3" i="1" s="1"/>
  <c r="H10" i="2"/>
  <c r="H23" i="2" s="1"/>
  <c r="G10" i="2"/>
  <c r="F10" i="2"/>
  <c r="E10" i="2"/>
  <c r="D10" i="2"/>
  <c r="I5" i="2"/>
  <c r="C8" i="1"/>
  <c r="I13" i="2" l="1"/>
  <c r="I12" i="2" s="1"/>
  <c r="G27" i="3"/>
  <c r="J28" i="2"/>
  <c r="F10" i="3"/>
  <c r="D4" i="1" s="1"/>
  <c r="F10" i="4"/>
  <c r="D5" i="1" s="1"/>
  <c r="D13" i="3"/>
  <c r="F13" i="3" s="1"/>
  <c r="D13" i="4"/>
  <c r="F13" i="4" s="1"/>
  <c r="H3" i="1" l="1"/>
  <c r="C3" i="1" s="1"/>
  <c r="F12" i="4"/>
  <c r="H5" i="1"/>
  <c r="C5" i="1" s="1"/>
  <c r="E5" i="1" s="1"/>
  <c r="F12" i="3"/>
  <c r="H4" i="1"/>
  <c r="C4" i="1" s="1"/>
  <c r="E4" i="1" s="1"/>
  <c r="C22" i="1"/>
  <c r="C20" i="1" s="1"/>
  <c r="C17" i="1"/>
  <c r="C14" i="1"/>
  <c r="D20" i="1" l="1"/>
  <c r="D7" i="3"/>
  <c r="E7" i="3"/>
  <c r="B17" i="1"/>
  <c r="D7" i="4"/>
  <c r="E7" i="4"/>
  <c r="H7" i="2"/>
  <c r="G7" i="2"/>
  <c r="F7" i="2"/>
  <c r="C11" i="1"/>
  <c r="B14" i="1" s="1"/>
  <c r="D7" i="2"/>
  <c r="E3" i="1"/>
  <c r="D15" i="2" l="1"/>
  <c r="D14" i="2"/>
  <c r="I7" i="2"/>
  <c r="I15" i="2" s="1"/>
  <c r="E15" i="2"/>
  <c r="E14" i="2"/>
  <c r="F15" i="2"/>
  <c r="F14" i="2"/>
  <c r="H15" i="2"/>
  <c r="H14" i="2"/>
  <c r="B8" i="1"/>
  <c r="G15" i="2"/>
  <c r="G14" i="2"/>
  <c r="D14" i="4"/>
  <c r="F14" i="4" s="1"/>
  <c r="F7" i="4"/>
  <c r="F15" i="4" s="1"/>
  <c r="D15" i="4"/>
  <c r="E15" i="3"/>
  <c r="E14" i="3"/>
  <c r="D14" i="3"/>
  <c r="F14" i="3" s="1"/>
  <c r="F7" i="3"/>
  <c r="F15" i="3" s="1"/>
  <c r="D15" i="3"/>
  <c r="E14" i="4"/>
  <c r="E15" i="4"/>
  <c r="D22" i="4" l="1"/>
  <c r="D19" i="4"/>
  <c r="D18" i="4"/>
  <c r="D17" i="4"/>
  <c r="D16" i="4"/>
  <c r="D20" i="4" s="1"/>
  <c r="D23" i="4"/>
  <c r="D22" i="3"/>
  <c r="D19" i="3"/>
  <c r="D18" i="3"/>
  <c r="D17" i="3"/>
  <c r="D16" i="3"/>
  <c r="D20" i="3" s="1"/>
  <c r="D23" i="3"/>
  <c r="E22" i="3"/>
  <c r="E24" i="3" s="1"/>
  <c r="E19" i="3"/>
  <c r="E16" i="3"/>
  <c r="E17" i="3"/>
  <c r="E18" i="3"/>
  <c r="G17" i="2"/>
  <c r="G16" i="2"/>
  <c r="G20" i="2" s="1"/>
  <c r="G19" i="2"/>
  <c r="G18" i="2"/>
  <c r="G22" i="2"/>
  <c r="G23" i="2"/>
  <c r="H16" i="2"/>
  <c r="H20" i="2" s="1"/>
  <c r="H19" i="2"/>
  <c r="H18" i="2"/>
  <c r="H22" i="2"/>
  <c r="H24" i="2" s="1"/>
  <c r="H17" i="2"/>
  <c r="F17" i="2"/>
  <c r="F19" i="2"/>
  <c r="F18" i="2"/>
  <c r="F16" i="2"/>
  <c r="F20" i="2" s="1"/>
  <c r="F22" i="2"/>
  <c r="F23" i="2"/>
  <c r="E16" i="2"/>
  <c r="E20" i="2" s="1"/>
  <c r="E17" i="2"/>
  <c r="E19" i="2"/>
  <c r="E18" i="2"/>
  <c r="E22" i="2"/>
  <c r="E23" i="2"/>
  <c r="E16" i="4"/>
  <c r="E22" i="4"/>
  <c r="E24" i="4" s="1"/>
  <c r="E19" i="4"/>
  <c r="E17" i="4"/>
  <c r="E18" i="4"/>
  <c r="I14" i="2"/>
  <c r="D17" i="2"/>
  <c r="D16" i="2"/>
  <c r="D20" i="2" s="1"/>
  <c r="D22" i="2"/>
  <c r="D19" i="2"/>
  <c r="D18" i="2"/>
  <c r="D23" i="2"/>
  <c r="E24" i="2" l="1"/>
  <c r="F24" i="2"/>
  <c r="D24" i="2"/>
  <c r="G24" i="2"/>
  <c r="D24" i="3"/>
  <c r="F24" i="3" s="1"/>
  <c r="D24" i="4"/>
  <c r="F24" i="4" s="1"/>
  <c r="I24" i="2" l="1"/>
</calcChain>
</file>

<file path=xl/sharedStrings.xml><?xml version="1.0" encoding="utf-8"?>
<sst xmlns="http://schemas.openxmlformats.org/spreadsheetml/2006/main" count="108" uniqueCount="54">
  <si>
    <t>한도액</t>
  </si>
  <si>
    <t>투자금</t>
  </si>
  <si>
    <t>투자비율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</si>
  <si>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</si>
  <si>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</si>
  <si>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</si>
  <si>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</si>
  <si>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</si>
  <si>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</si>
  <si>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</si>
  <si>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</si>
  <si>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</si>
  <si>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</si>
  <si>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합계</t>
  </si>
  <si>
    <t>ITEMs</t>
  </si>
  <si>
    <t>#</t>
  </si>
  <si>
    <t>코드</t>
  </si>
  <si>
    <t>498400</t>
  </si>
  <si>
    <t>091160</t>
  </si>
  <si>
    <t>481060</t>
  </si>
  <si>
    <t>종목</t>
  </si>
  <si>
    <t>KODEX 200타겟위클리커버드콜</t>
  </si>
  <si>
    <t>KODEX 반도체</t>
  </si>
  <si>
    <t>KODEX AI전력핵심설비</t>
  </si>
  <si>
    <t>KODEX 현대차로보틱스밸류체인TOP3플러</t>
  </si>
  <si>
    <t>KODEX 미국30년국채타겟커버드콜(합성H)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</si>
  <si>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</si>
  <si>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</si>
  <si>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</si>
  <si>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</si>
  <si>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</si>
  <si>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</si>
  <si>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</si>
  <si>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매매</t>
  </si>
  <si>
    <t>현재가</t>
  </si>
  <si>
    <t>수익률</t>
  </si>
  <si>
    <t>수익</t>
  </si>
  <si>
    <t>추가매수</t>
  </si>
  <si>
    <t>목표</t>
  </si>
  <si>
    <t>목표수량</t>
  </si>
  <si>
    <t>투자금 목표</t>
  </si>
  <si>
    <t>목표평단가</t>
  </si>
  <si>
    <t>배당,분배
(세후)</t>
  </si>
  <si>
    <t>함계</t>
  </si>
  <si>
    <t>494300</t>
  </si>
  <si>
    <t>KODEX 미국나스닥100데일리커버드콜OTM</t>
  </si>
  <si>
    <t>Plane</t>
  </si>
  <si>
    <t>투자한도</t>
  </si>
  <si>
    <t>추가매수(금액)</t>
  </si>
  <si>
    <t>추가매수(주)</t>
  </si>
  <si>
    <t>목표투자금</t>
  </si>
  <si>
    <t>매수한도</t>
  </si>
  <si>
    <t>0204D0</t>
    <phoneticPr fontId="4" type="noConversion"/>
  </si>
  <si>
    <t>487240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</si>
</sst>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96"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9" fontId="3" fillId="0" borderId="1" xfId="1" applyBorder="1" applyAlignment="1">
      <alignment vertical="center"/>
    </xf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0" fillId="0" borderId="1" xfId="0" applyNumberFormat="1" applyBorder="1" applyAlignment="1"/>
    <xf numFmtId="0" fontId="0" fillId="0" borderId="0" xfId="0" applyAlignment="1"/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10" fontId="5" fillId="3" borderId="8" xfId="1" applyNumberFormat="1" applyFont="1" applyFill="1" applyBorder="1" applyAlignment="1">
      <alignment vertical="center"/>
    </xf>
    <xf numFmtId="9" fontId="3" fillId="0" borderId="10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9" fontId="3" fillId="0" borderId="6" xfId="1" applyBorder="1" applyAlignment="1">
      <alignment vertical="center"/>
    </xf>
    <xf numFmtId="9" fontId="3" fillId="0" borderId="8" xfId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0" fontId="3" fillId="0" borderId="1" xfId="1" applyNumberForma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0" xfId="1" applyNumberFormat="1" applyAlignment="1">
      <alignment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1" xfId="0" applyNumberFormat="1" applyFont="1" applyBorder="1" applyAlignment="1">
      <alignment vertical="center"/>
    </xf>
    <xf numFmtId="41" fontId="2" fillId="0" borderId="1" xfId="0" applyNumberFormat="1" applyFont="1" applyBorder="1" applyAlignment="1"/>
    <xf numFmtId="41" fontId="2" fillId="0" borderId="0" xfId="0" applyNumberFormat="1" applyFont="1" applyAlignment="1"/>
    <xf numFmtId="176" fontId="2" fillId="2" borderId="5" xfId="1" applyNumberFormat="1" applyFont="1" applyFill="1" applyBorder="1" applyAlignment="1">
      <alignment vertical="center"/>
    </xf>
    <xf numFmtId="176" fontId="2" fillId="2" borderId="1" xfId="1" applyNumberFormat="1" applyFont="1" applyFill="1" applyBorder="1" applyAlignment="1">
      <alignment vertical="center"/>
    </xf>
    <xf numFmtId="41" fontId="3" fillId="0" borderId="10" xfId="2" applyBorder="1" applyAlignment="1">
      <alignment horizontal="right" vertical="center"/>
    </xf>
    <xf numFmtId="41" fontId="3" fillId="0" borderId="11" xfId="0" applyNumberFormat="1" applyFont="1" applyBorder="1" applyAlignment="1">
      <alignment vertical="center"/>
    </xf>
    <xf numFmtId="41" fontId="0" fillId="0" borderId="5" xfId="2" applyFont="1" applyBorder="1" applyAlignment="1">
      <alignment horizontal="center" vertical="center"/>
    </xf>
    <xf numFmtId="41" fontId="2" fillId="2" borderId="5" xfId="2" applyFont="1" applyFill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1" xfId="0" applyNumberFormat="1" applyFont="1" applyBorder="1" applyAlignment="1">
      <alignment vertical="center"/>
    </xf>
    <xf numFmtId="41" fontId="10" fillId="2" borderId="5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8" xfId="2" applyFont="1" applyBorder="1" applyAlignment="1">
      <alignment vertical="center"/>
    </xf>
    <xf numFmtId="41" fontId="3" fillId="0" borderId="8" xfId="2" applyBorder="1" applyAlignment="1">
      <alignment vertical="center"/>
    </xf>
    <xf numFmtId="41" fontId="3" fillId="0" borderId="10" xfId="2" applyBorder="1" applyAlignment="1">
      <alignment vertical="center"/>
    </xf>
    <xf numFmtId="41" fontId="2" fillId="0" borderId="11" xfId="2" applyFont="1" applyBorder="1" applyAlignment="1">
      <alignment vertical="center"/>
    </xf>
    <xf numFmtId="41" fontId="3" fillId="0" borderId="0" xfId="2" applyAlignment="1">
      <alignment vertical="center"/>
    </xf>
    <xf numFmtId="41" fontId="2" fillId="0" borderId="0" xfId="2" applyFont="1" applyAlignment="1">
      <alignment vertical="center"/>
    </xf>
    <xf numFmtId="41" fontId="3" fillId="0" borderId="5" xfId="2" applyBorder="1" applyAlignment="1">
      <alignment horizontal="right" vertical="center"/>
    </xf>
    <xf numFmtId="41" fontId="3" fillId="0" borderId="1" xfId="2" applyBorder="1" applyAlignment="1">
      <alignment horizontal="center" vertical="center"/>
    </xf>
    <xf numFmtId="41" fontId="0" fillId="0" borderId="11" xfId="0" applyNumberFormat="1" applyBorder="1" applyAlignment="1">
      <alignment vertical="center"/>
    </xf>
    <xf numFmtId="41" fontId="3" fillId="0" borderId="2" xfId="2" applyBorder="1" applyAlignment="1">
      <alignment horizontal="center" vertical="center"/>
    </xf>
    <xf numFmtId="41" fontId="0" fillId="0" borderId="1" xfId="0" applyNumberFormat="1" applyBorder="1" applyAlignment="1"/>
    <xf numFmtId="41" fontId="3" fillId="0" borderId="1" xfId="1" applyNumberFormat="1" applyBorder="1" applyAlignment="1">
      <alignment vertical="center"/>
    </xf>
    <xf numFmtId="41" fontId="0" fillId="0" borderId="0" xfId="0" applyNumberFormat="1" applyAlignment="1">
      <alignment vertical="center"/>
    </xf>
    <xf numFmtId="41" fontId="9" fillId="2" borderId="5" xfId="2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0" fillId="0" borderId="1" xfId="2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5" xfId="2" applyFont="1" applyFill="1" applyBorder="1" applyAlignment="1">
      <alignment vertical="center"/>
    </xf>
    <xf numFmtId="41" fontId="7" fillId="4" borderId="1" xfId="2" applyFont="1" applyFill="1" applyBorder="1" applyAlignment="1">
      <alignment horizontal="center" vertical="center"/>
    </xf>
    <xf numFmtId="0" fontId="0" fillId="0" borderId="4" xfId="0" applyBorder="1" applyAlignment="1"/>
    <xf numFmtId="0" fontId="3" fillId="0" borderId="6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5" xfId="0" applyBorder="1" applyAlignment="1"/>
    <xf numFmtId="0" fontId="7" fillId="4" borderId="12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8" xfId="0" applyBorder="1" applyAlignment="1"/>
    <xf numFmtId="41" fontId="7" fillId="4" borderId="19" xfId="2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9" xfId="0" applyBorder="1" applyAlignment="1"/>
    <xf numFmtId="41" fontId="7" fillId="4" borderId="12" xfId="2" applyFont="1" applyFill="1" applyBorder="1" applyAlignment="1">
      <alignment horizontal="center" vertical="center"/>
    </xf>
    <xf numFmtId="41" fontId="7" fillId="4" borderId="22" xfId="2" applyFont="1" applyFill="1" applyBorder="1" applyAlignment="1">
      <alignment horizontal="center" vertical="center" wrapText="1"/>
    </xf>
    <xf numFmtId="41" fontId="7" fillId="4" borderId="1" xfId="2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41" fontId="7" fillId="4" borderId="20" xfId="2" applyFont="1" applyFill="1" applyBorder="1" applyAlignment="1">
      <alignment horizontal="center" vertical="center"/>
    </xf>
    <xf numFmtId="0" fontId="0" fillId="0" borderId="14" xfId="0" applyBorder="1" applyAlignment="1"/>
    <xf numFmtId="41" fontId="7" fillId="4" borderId="21" xfId="2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1" xfId="0" applyBorder="1" applyAlignment="1"/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2"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G21" sqref="G21"/>
    </sheetView>
  </sheetViews>
  <sheetFormatPr defaultRowHeight="17" x14ac:dyDescent="0.45"/>
  <cols>
    <col min="2" max="2" width="14.25" style="15" bestFit="1" customWidth="1"/>
    <col min="3" max="3" width="17.4140625" style="15" customWidth="1"/>
    <col min="4" max="4" width="14.25" style="15" bestFit="1" customWidth="1"/>
    <col min="5" max="5" width="14.25" style="15" customWidth="1"/>
    <col min="6" max="6" width="14.25" style="15" bestFit="1" customWidth="1"/>
    <col min="7" max="7" width="14.25" style="15" customWidth="1"/>
    <col min="8" max="8" width="12.6640625" style="15" bestFit="1" customWidth="1"/>
    <col min="9" max="9" width="2.4140625" style="15" customWidth="1"/>
  </cols>
  <sheetData>
    <row r="1" spans="1:10" s="16" customFormat="1" x14ac:dyDescent="0.45"/>
    <row r="2" spans="1:10" x14ac:dyDescent="0.45">
      <c r="B2" s="3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J2" s="8" t="s">
        <v>6</v>
      </c>
    </row>
    <row r="3" spans="1:10" x14ac:dyDescent="0.45">
      <c r="B3" s="2" t="s">
        <v>7</v>
      </c>
      <c r="C3" s="37">
        <f>ROUNDDOWN(F3-H3, -7)</f>
        <v>1220000000</v>
      </c>
      <c r="D3" s="37">
        <f>CMA!I10</f>
        <v>295903385</v>
      </c>
      <c r="E3" s="29">
        <f>D3/C3</f>
        <v>0.2425437581967213</v>
      </c>
      <c r="F3" s="38">
        <v>1318000000</v>
      </c>
      <c r="G3" s="38"/>
      <c r="H3" s="39">
        <f>CMA!I13</f>
        <v>93713075</v>
      </c>
      <c r="J3" s="11">
        <v>0.4</v>
      </c>
    </row>
    <row r="4" spans="1:10" x14ac:dyDescent="0.45">
      <c r="B4" s="2" t="s">
        <v>8</v>
      </c>
      <c r="C4" s="37">
        <f>ROUNDDOWN(F4-H4, -6)</f>
        <v>128000000</v>
      </c>
      <c r="D4" s="37">
        <f>개인연금!F10</f>
        <v>114287811</v>
      </c>
      <c r="E4" s="29">
        <f>D4/C4</f>
        <v>0.89287352343750004</v>
      </c>
      <c r="F4" s="38">
        <v>137400000</v>
      </c>
      <c r="G4" s="38">
        <v>0</v>
      </c>
      <c r="H4" s="39">
        <f>개인연금!F13+G4</f>
        <v>9013519</v>
      </c>
      <c r="J4" s="11">
        <v>0.3</v>
      </c>
    </row>
    <row r="5" spans="1:10" x14ac:dyDescent="0.45">
      <c r="B5" s="2" t="s">
        <v>9</v>
      </c>
      <c r="C5" s="37">
        <f>ROUNDDOWN(F5-H5, -5)</f>
        <v>13500000</v>
      </c>
      <c r="D5" s="37">
        <f>퇴직연금!F10</f>
        <v>13615448</v>
      </c>
      <c r="E5" s="29">
        <f>D5/C5</f>
        <v>1.0085517037037037</v>
      </c>
      <c r="F5" s="38">
        <v>13700000</v>
      </c>
      <c r="G5" s="38">
        <v>0</v>
      </c>
      <c r="H5" s="39">
        <f>퇴직연금!F13+G5</f>
        <v>198352</v>
      </c>
      <c r="J5" s="11">
        <v>0.2</v>
      </c>
    </row>
    <row r="6" spans="1:10" x14ac:dyDescent="0.45">
      <c r="D6" s="40"/>
      <c r="E6" s="40"/>
      <c r="F6" s="40"/>
      <c r="H6" s="40"/>
      <c r="J6" s="11">
        <v>0.1</v>
      </c>
    </row>
    <row r="7" spans="1:10" x14ac:dyDescent="0.45">
      <c r="B7" s="74" t="s">
        <v>10</v>
      </c>
      <c r="C7" s="75"/>
    </row>
    <row r="8" spans="1:10" x14ac:dyDescent="0.45">
      <c r="A8" s="16"/>
      <c r="B8" s="29">
        <f>C17/C11</f>
        <v>7.5596728608152766E-2</v>
      </c>
      <c r="C8" s="41">
        <f>SUM(F3,F4,F5)</f>
        <v>1469100000</v>
      </c>
    </row>
    <row r="10" spans="1:10" x14ac:dyDescent="0.45">
      <c r="A10" s="16"/>
      <c r="B10" s="74" t="s">
        <v>11</v>
      </c>
      <c r="C10" s="75"/>
    </row>
    <row r="11" spans="1:10" s="16" customFormat="1" x14ac:dyDescent="0.45">
      <c r="B11" s="8"/>
      <c r="C11" s="41">
        <f>SUM(C3,C4,C5)</f>
        <v>1361500000</v>
      </c>
    </row>
    <row r="12" spans="1:10" x14ac:dyDescent="0.45">
      <c r="A12" s="16"/>
    </row>
    <row r="13" spans="1:10" s="16" customFormat="1" x14ac:dyDescent="0.45">
      <c r="B13" s="74" t="s">
        <v>1</v>
      </c>
      <c r="C13" s="75"/>
    </row>
    <row r="14" spans="1:10" s="16" customFormat="1" x14ac:dyDescent="0.45">
      <c r="B14" s="29">
        <f>C14/C11</f>
        <v>0.31127920969518913</v>
      </c>
      <c r="C14" s="42">
        <f>SUM(D3:D5)</f>
        <v>423806644</v>
      </c>
    </row>
    <row r="15" spans="1:10" s="16" customFormat="1" x14ac:dyDescent="0.45"/>
    <row r="16" spans="1:10" s="16" customFormat="1" x14ac:dyDescent="0.45">
      <c r="B16" s="74" t="s">
        <v>5</v>
      </c>
      <c r="C16" s="75"/>
    </row>
    <row r="17" spans="2:4" s="16" customFormat="1" x14ac:dyDescent="0.45">
      <c r="B17" s="29">
        <f>C17/C14</f>
        <v>0.24285826439285366</v>
      </c>
      <c r="C17" s="41">
        <f>SUM(H3,H4,H5)</f>
        <v>102924946</v>
      </c>
    </row>
    <row r="18" spans="2:4" s="16" customFormat="1" x14ac:dyDescent="0.45"/>
    <row r="19" spans="2:4" s="16" customFormat="1" x14ac:dyDescent="0.45">
      <c r="B19" s="74" t="s">
        <v>12</v>
      </c>
      <c r="C19" s="75"/>
    </row>
    <row r="20" spans="2:4" s="16" customFormat="1" x14ac:dyDescent="0.45">
      <c r="B20" s="13" t="s">
        <v>13</v>
      </c>
      <c r="C20" s="42">
        <f>SUM(C22:C34)</f>
        <v>9321507</v>
      </c>
      <c r="D20" s="36">
        <f>C20/C14</f>
        <v>2.1994716533986193E-2</v>
      </c>
    </row>
    <row r="21" spans="2:4" s="16" customFormat="1" x14ac:dyDescent="0.45">
      <c r="B21" s="12"/>
      <c r="C21" s="43"/>
    </row>
    <row r="22" spans="2:4" s="16" customFormat="1" x14ac:dyDescent="0.45">
      <c r="B22" s="14">
        <v>46143</v>
      </c>
      <c r="C22" s="42">
        <f>CMA!J28+개인연금!G27+퇴직연금!F27</f>
        <v>4261901</v>
      </c>
    </row>
    <row r="23" spans="2:4" s="16" customFormat="1" x14ac:dyDescent="0.45">
      <c r="B23" s="14">
        <v>46174</v>
      </c>
      <c r="C23" s="42">
        <f>CMA!I29+개인연금!F28+퇴직연금!F28</f>
        <v>5059606</v>
      </c>
    </row>
  </sheetData>
  <mergeCells count="5">
    <mergeCell ref="B13:C13"/>
    <mergeCell ref="B16:C16"/>
    <mergeCell ref="B7:C7"/>
    <mergeCell ref="B19:C19"/>
    <mergeCell ref="B10:C1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selection activeCell="E36" sqref="E36"/>
    </sheetView>
  </sheetViews>
  <sheetFormatPr defaultRowHeight="17" x14ac:dyDescent="0.45"/>
  <cols>
    <col min="1" max="1" width="3.33203125" style="15" customWidth="1"/>
    <col min="2" max="2" width="11" style="15" bestFit="1" customWidth="1"/>
    <col min="3" max="3" width="13" style="15" bestFit="1" customWidth="1"/>
    <col min="4" max="4" width="28.9140625" style="15" customWidth="1"/>
    <col min="5" max="5" width="27" style="15" customWidth="1"/>
    <col min="6" max="6" width="25.25" style="15" customWidth="1"/>
    <col min="7" max="7" width="37.58203125" style="15" customWidth="1"/>
    <col min="8" max="8" width="38.83203125" style="15" bestFit="1" customWidth="1"/>
    <col min="9" max="9" width="13.83203125" style="15" bestFit="1" customWidth="1"/>
    <col min="10" max="10" width="10.58203125" style="15" bestFit="1" customWidth="1"/>
  </cols>
  <sheetData>
    <row r="1" spans="2:9" ht="17.5" customHeight="1" thickBot="1" x14ac:dyDescent="0.5"/>
    <row r="2" spans="2:9" x14ac:dyDescent="0.45">
      <c r="B2" s="79" t="s">
        <v>14</v>
      </c>
      <c r="C2" s="26" t="s">
        <v>15</v>
      </c>
      <c r="D2" s="27">
        <v>1</v>
      </c>
      <c r="E2" s="27">
        <v>3</v>
      </c>
      <c r="F2" s="27">
        <v>3</v>
      </c>
      <c r="G2" s="27">
        <v>4</v>
      </c>
      <c r="H2" s="27">
        <v>5</v>
      </c>
      <c r="I2" s="76" t="s">
        <v>13</v>
      </c>
    </row>
    <row r="3" spans="2:9" x14ac:dyDescent="0.45">
      <c r="B3" s="80"/>
      <c r="C3" s="33" t="s">
        <v>16</v>
      </c>
      <c r="D3" s="6" t="s">
        <v>17</v>
      </c>
      <c r="E3" s="7" t="s">
        <v>18</v>
      </c>
      <c r="F3" s="6" t="s">
        <v>53</v>
      </c>
      <c r="G3" s="6" t="s">
        <v>52</v>
      </c>
      <c r="H3" s="6" t="s">
        <v>19</v>
      </c>
      <c r="I3" s="78"/>
    </row>
    <row r="4" spans="2:9" ht="17.5" customHeight="1" thickBot="1" x14ac:dyDescent="0.5">
      <c r="B4" s="81"/>
      <c r="C4" s="30" t="s">
        <v>20</v>
      </c>
      <c r="D4" s="31" t="s">
        <v>21</v>
      </c>
      <c r="E4" s="31" t="s">
        <v>22</v>
      </c>
      <c r="F4" s="31" t="s">
        <v>23</v>
      </c>
      <c r="G4" s="31" t="s">
        <v>24</v>
      </c>
      <c r="H4" s="28" t="s">
        <v>25</v>
      </c>
      <c r="I4" s="77"/>
    </row>
    <row r="5" spans="2:9" x14ac:dyDescent="0.45">
      <c r="B5" s="79" t="s">
        <v>26</v>
      </c>
      <c r="C5" s="17" t="s">
        <v>27</v>
      </c>
      <c r="D5" s="44">
        <v>0.4</v>
      </c>
      <c r="E5" s="44">
        <v>0.3</v>
      </c>
      <c r="F5" s="44">
        <v>0.2</v>
      </c>
      <c r="G5" s="44">
        <v>0.1</v>
      </c>
      <c r="H5" s="44">
        <v>0</v>
      </c>
      <c r="I5" s="23">
        <f>SUM(D5:H5)</f>
        <v>0.99999999999999989</v>
      </c>
    </row>
    <row r="6" spans="2:9" ht="17.5" customHeight="1" x14ac:dyDescent="0.45">
      <c r="B6" s="80"/>
      <c r="C6" s="35" t="s">
        <v>28</v>
      </c>
      <c r="D6" s="45">
        <v>0.45</v>
      </c>
      <c r="E6" s="45">
        <v>0.2</v>
      </c>
      <c r="F6" s="45">
        <v>0.2</v>
      </c>
      <c r="G6" s="45">
        <v>0.2</v>
      </c>
      <c r="H6" s="45">
        <v>0</v>
      </c>
      <c r="I6" s="24"/>
    </row>
    <row r="7" spans="2:9" ht="17.5" customHeight="1" thickBot="1" x14ac:dyDescent="0.5">
      <c r="B7" s="81"/>
      <c r="C7" s="25" t="s">
        <v>29</v>
      </c>
      <c r="D7" s="46">
        <f>Assets!$C3*(D5)*D6</f>
        <v>219600000</v>
      </c>
      <c r="E7" s="46">
        <f>Assets!$C3*(E5)*E6</f>
        <v>73200000</v>
      </c>
      <c r="F7" s="46">
        <f>Assets!$C3*(F5)*F6</f>
        <v>48800000</v>
      </c>
      <c r="G7" s="46">
        <f>Assets!$C3*(G5)*G6</f>
        <v>24400000</v>
      </c>
      <c r="H7" s="46">
        <f>Assets!$C3*(H5)*H6</f>
        <v>0</v>
      </c>
      <c r="I7" s="47">
        <f>SUM(D7:G7)</f>
        <v>366000000</v>
      </c>
    </row>
    <row r="8" spans="2:9" s="16" customFormat="1" ht="17.5" customHeight="1" x14ac:dyDescent="0.45">
      <c r="B8" s="79" t="s">
        <v>30</v>
      </c>
      <c r="C8" s="48" t="s">
        <v>31</v>
      </c>
      <c r="D8" s="49">
        <v>9606</v>
      </c>
      <c r="E8" s="49">
        <v>496</v>
      </c>
      <c r="F8" s="49">
        <v>514</v>
      </c>
      <c r="G8" s="49">
        <v>1361</v>
      </c>
      <c r="H8" s="49"/>
      <c r="I8" s="20"/>
    </row>
    <row r="9" spans="2:9" s="16" customFormat="1" ht="17.5" customHeight="1" x14ac:dyDescent="0.45">
      <c r="B9" s="80"/>
      <c r="C9" s="50" t="s">
        <v>32</v>
      </c>
      <c r="D9" s="51">
        <v>20486</v>
      </c>
      <c r="E9" s="51">
        <v>125661</v>
      </c>
      <c r="F9" s="51">
        <v>47832</v>
      </c>
      <c r="G9" s="51">
        <v>8965</v>
      </c>
      <c r="H9" s="51"/>
      <c r="I9" s="21"/>
    </row>
    <row r="10" spans="2:9" ht="17.5" customHeight="1" thickBot="1" x14ac:dyDescent="0.5">
      <c r="B10" s="81"/>
      <c r="C10" s="22" t="s">
        <v>1</v>
      </c>
      <c r="D10" s="46">
        <f>D9*D8</f>
        <v>196788516</v>
      </c>
      <c r="E10" s="46">
        <f>E9*E8</f>
        <v>62327856</v>
      </c>
      <c r="F10" s="46">
        <f>F9*F8</f>
        <v>24585648</v>
      </c>
      <c r="G10" s="46">
        <f>G9*G8</f>
        <v>12201365</v>
      </c>
      <c r="H10" s="46">
        <f>H9*H8</f>
        <v>0</v>
      </c>
      <c r="I10" s="52">
        <f>SUM(D10:G10)</f>
        <v>295903385</v>
      </c>
    </row>
    <row r="11" spans="2:9" ht="17.5" customHeight="1" thickBot="1" x14ac:dyDescent="0.5">
      <c r="B11" s="82" t="s">
        <v>33</v>
      </c>
      <c r="C11" s="17" t="s">
        <v>34</v>
      </c>
      <c r="D11" s="53">
        <v>27700</v>
      </c>
      <c r="E11" s="53">
        <v>177700</v>
      </c>
      <c r="F11" s="53">
        <v>46215</v>
      </c>
      <c r="G11" s="53">
        <v>8550</v>
      </c>
      <c r="H11" s="53">
        <v>7800</v>
      </c>
      <c r="I11" s="34"/>
    </row>
    <row r="12" spans="2:9" x14ac:dyDescent="0.45">
      <c r="B12" s="83"/>
      <c r="C12" s="33" t="s">
        <v>35</v>
      </c>
      <c r="D12" s="4">
        <f>IF(D9&gt;0, (D11-D9)/D9, 0)</f>
        <v>0.35214292687689153</v>
      </c>
      <c r="E12" s="4">
        <f>IF(E9&gt;0, (E11-E9)/E9, 0)</f>
        <v>0.41412212221771272</v>
      </c>
      <c r="F12" s="4">
        <f>IF(F9&gt;0, (F11-F9)/F9, 0)</f>
        <v>-3.3805820371299547E-2</v>
      </c>
      <c r="G12" s="4">
        <f>IF(G9&gt;0, (G11-G9)/G9, 0)</f>
        <v>-4.6291132180702736E-2</v>
      </c>
      <c r="H12" s="4">
        <f>IF(H9&gt;0, (H11-H9)/H9, 0)</f>
        <v>0</v>
      </c>
      <c r="I12" s="18">
        <f>I13/I10</f>
        <v>0.3167015983950302</v>
      </c>
    </row>
    <row r="13" spans="2:9" x14ac:dyDescent="0.45">
      <c r="B13" s="83"/>
      <c r="C13" s="35" t="s">
        <v>36</v>
      </c>
      <c r="D13" s="54">
        <f>D10*D12</f>
        <v>69297684</v>
      </c>
      <c r="E13" s="54">
        <f>E10*E12</f>
        <v>25811344</v>
      </c>
      <c r="F13" s="54">
        <f>F10*F12</f>
        <v>-831138</v>
      </c>
      <c r="G13" s="54">
        <f>G10*G12</f>
        <v>-564815</v>
      </c>
      <c r="H13" s="54">
        <f>H10*H12</f>
        <v>0</v>
      </c>
      <c r="I13" s="55">
        <f>SUM(D13:G13)</f>
        <v>93713075</v>
      </c>
    </row>
    <row r="14" spans="2:9" x14ac:dyDescent="0.45">
      <c r="B14" s="83"/>
      <c r="C14" s="35" t="s">
        <v>33</v>
      </c>
      <c r="D14" s="54">
        <f>D7-D10</f>
        <v>22811484</v>
      </c>
      <c r="E14" s="54">
        <f>E7-E10</f>
        <v>10872144</v>
      </c>
      <c r="F14" s="54">
        <f>F7-F10</f>
        <v>24214352</v>
      </c>
      <c r="G14" s="54">
        <f>G7-G10</f>
        <v>12198635</v>
      </c>
      <c r="H14" s="54">
        <f>H7-H10</f>
        <v>0</v>
      </c>
      <c r="I14" s="56">
        <f>SUM(D14:G14)</f>
        <v>70096615</v>
      </c>
    </row>
    <row r="15" spans="2:9" ht="17.5" customHeight="1" x14ac:dyDescent="0.45">
      <c r="B15" s="83"/>
      <c r="C15" s="35" t="s">
        <v>37</v>
      </c>
      <c r="D15" s="54">
        <f t="shared" ref="D15:I15" si="0">IFERROR((D7-D10)/D11, 0)</f>
        <v>823.51927797833935</v>
      </c>
      <c r="E15" s="54">
        <f t="shared" si="0"/>
        <v>61.182577377602698</v>
      </c>
      <c r="F15" s="54">
        <f t="shared" si="0"/>
        <v>523.9500595044899</v>
      </c>
      <c r="G15" s="54">
        <f t="shared" si="0"/>
        <v>1426.7409356725145</v>
      </c>
      <c r="H15" s="54">
        <f t="shared" si="0"/>
        <v>0</v>
      </c>
      <c r="I15" s="55">
        <f t="shared" si="0"/>
        <v>0</v>
      </c>
    </row>
    <row r="16" spans="2:9" s="16" customFormat="1" ht="17.5" customHeight="1" x14ac:dyDescent="0.45">
      <c r="B16" s="83"/>
      <c r="C16" s="9">
        <v>0.4</v>
      </c>
      <c r="D16" s="37">
        <f>D$15*Assets!$J3</f>
        <v>329.40771119133575</v>
      </c>
      <c r="E16" s="37">
        <f>E$15*Assets!$J3</f>
        <v>24.473030951041082</v>
      </c>
      <c r="F16" s="37">
        <f>F$15*Assets!$J3</f>
        <v>209.58002380179596</v>
      </c>
      <c r="G16" s="37">
        <f>G$15*Assets!$J3</f>
        <v>570.69637426900579</v>
      </c>
      <c r="H16" s="37">
        <f>H$15*Assets!$J3</f>
        <v>0</v>
      </c>
      <c r="I16" s="55"/>
    </row>
    <row r="17" spans="2:10" s="16" customFormat="1" ht="17.5" customHeight="1" x14ac:dyDescent="0.45">
      <c r="B17" s="83"/>
      <c r="C17" s="9">
        <v>0.3</v>
      </c>
      <c r="D17" s="37">
        <f>D$15*Assets!$J4</f>
        <v>247.0557833935018</v>
      </c>
      <c r="E17" s="37">
        <f>E$15*Assets!$J4</f>
        <v>18.354773213280808</v>
      </c>
      <c r="F17" s="37">
        <f>F$15*Assets!$J4</f>
        <v>157.18501785134697</v>
      </c>
      <c r="G17" s="37">
        <f>G$15*Assets!$J4</f>
        <v>428.02228070175437</v>
      </c>
      <c r="H17" s="37">
        <f>H$15*Assets!$J4</f>
        <v>0</v>
      </c>
      <c r="I17" s="55"/>
    </row>
    <row r="18" spans="2:10" s="16" customFormat="1" ht="17.5" customHeight="1" x14ac:dyDescent="0.45">
      <c r="B18" s="83"/>
      <c r="C18" s="9">
        <v>0.2</v>
      </c>
      <c r="D18" s="37">
        <f>D$15*Assets!$J5</f>
        <v>164.70385559566787</v>
      </c>
      <c r="E18" s="37">
        <f>E$15*Assets!$J5</f>
        <v>12.236515475520541</v>
      </c>
      <c r="F18" s="37">
        <f>F$15*Assets!$J5</f>
        <v>104.79001190089798</v>
      </c>
      <c r="G18" s="37">
        <f>G$15*Assets!$J5</f>
        <v>285.34818713450289</v>
      </c>
      <c r="H18" s="37">
        <f>H$15*Assets!$J5</f>
        <v>0</v>
      </c>
      <c r="I18" s="55"/>
    </row>
    <row r="19" spans="2:10" s="16" customFormat="1" ht="17.5" customHeight="1" thickBot="1" x14ac:dyDescent="0.5">
      <c r="B19" s="84"/>
      <c r="C19" s="19">
        <v>0.1</v>
      </c>
      <c r="D19" s="57">
        <f>D$15*Assets!$J6</f>
        <v>82.351927797833937</v>
      </c>
      <c r="E19" s="57">
        <f>E$15*Assets!$J6</f>
        <v>6.1182577377602705</v>
      </c>
      <c r="F19" s="57">
        <f>F$15*Assets!$J6</f>
        <v>52.39500595044899</v>
      </c>
      <c r="G19" s="57">
        <f>G$15*Assets!$J6</f>
        <v>142.67409356725145</v>
      </c>
      <c r="H19" s="57">
        <f>H$15*Assets!$J6</f>
        <v>0</v>
      </c>
      <c r="I19" s="58"/>
    </row>
    <row r="20" spans="2:10" s="16" customFormat="1" ht="17.5" customHeight="1" x14ac:dyDescent="0.45">
      <c r="C20" s="5"/>
      <c r="D20" s="59">
        <f>D16*D11</f>
        <v>9124593.5999999996</v>
      </c>
      <c r="E20" s="59">
        <f>E16*E11</f>
        <v>4348857.6000000006</v>
      </c>
      <c r="F20" s="59">
        <f>F16*F11</f>
        <v>9685740.8000000007</v>
      </c>
      <c r="G20" s="59">
        <f>G16*G11</f>
        <v>4879453.9999999991</v>
      </c>
      <c r="H20" s="59">
        <f>H16*H11</f>
        <v>0</v>
      </c>
      <c r="I20" s="60"/>
    </row>
    <row r="21" spans="2:10" s="16" customFormat="1" ht="17.5" customHeight="1" thickBot="1" x14ac:dyDescent="0.5">
      <c r="C21" s="5"/>
      <c r="D21" s="59"/>
      <c r="E21" s="59"/>
      <c r="F21" s="59"/>
      <c r="G21" s="59"/>
      <c r="H21" s="59"/>
      <c r="I21" s="60"/>
    </row>
    <row r="22" spans="2:10" x14ac:dyDescent="0.45">
      <c r="B22" s="85" t="s">
        <v>38</v>
      </c>
      <c r="C22" s="26" t="s">
        <v>39</v>
      </c>
      <c r="D22" s="61">
        <f>D8+D15</f>
        <v>10429.519277978339</v>
      </c>
      <c r="E22" s="61">
        <f>E8+E15</f>
        <v>557.18257737760268</v>
      </c>
      <c r="F22" s="61">
        <f>F8+F15</f>
        <v>1037.9500595044899</v>
      </c>
      <c r="G22" s="61">
        <f>G8+G15</f>
        <v>2787.7409356725148</v>
      </c>
      <c r="H22" s="61">
        <f>H8+H15</f>
        <v>0</v>
      </c>
      <c r="I22" s="76" t="s">
        <v>40</v>
      </c>
    </row>
    <row r="23" spans="2:10" x14ac:dyDescent="0.45">
      <c r="B23" s="80"/>
      <c r="C23" s="33" t="s">
        <v>41</v>
      </c>
      <c r="D23" s="62">
        <f>IF(D10&gt;0,(((D8*D9)+(D15*D11))/(D8+D15)),0)</f>
        <v>21055.620508193482</v>
      </c>
      <c r="E23" s="62">
        <f>IF(E10&gt;0,(((E8*E9)+(E15*E11))/(E8+E15)),0)</f>
        <v>131375.24928456682</v>
      </c>
      <c r="F23" s="62">
        <f>IF(F10&gt;0,(((F8*F9)+(F15*F11))/(F8+F15)),0)</f>
        <v>47015.749508504079</v>
      </c>
      <c r="G23" s="62">
        <f>IF(G10&gt;0,(((G8*G9)+(G15*G11))/(G8+G15)),0)</f>
        <v>8752.6067030736285</v>
      </c>
      <c r="H23" s="62">
        <f>IF(H10&gt;0,(((H8*H9)+(H15*H11))/(H8+H15)),0)</f>
        <v>0</v>
      </c>
      <c r="I23" s="77"/>
    </row>
    <row r="24" spans="2:10" ht="17.5" customHeight="1" thickBot="1" x14ac:dyDescent="0.5">
      <c r="B24" s="81"/>
      <c r="C24" s="22" t="s">
        <v>1</v>
      </c>
      <c r="D24" s="57">
        <f>D22*D23</f>
        <v>219600000</v>
      </c>
      <c r="E24" s="57">
        <f>E22*E23</f>
        <v>73199999.999999985</v>
      </c>
      <c r="F24" s="57">
        <f>F22*F23</f>
        <v>48800000</v>
      </c>
      <c r="G24" s="57">
        <f>G22*G23</f>
        <v>24400000</v>
      </c>
      <c r="H24" s="57">
        <f>H22*H23</f>
        <v>0</v>
      </c>
      <c r="I24" s="63">
        <f>SUM(D24:G24)</f>
        <v>366000000</v>
      </c>
    </row>
    <row r="25" spans="2:10" ht="17.5" customHeight="1" x14ac:dyDescent="0.45">
      <c r="H25" s="64"/>
    </row>
    <row r="26" spans="2:10" s="16" customFormat="1" ht="17.5" customHeight="1" x14ac:dyDescent="0.45">
      <c r="B26" s="86" t="s">
        <v>42</v>
      </c>
      <c r="C26" s="33" t="s">
        <v>43</v>
      </c>
      <c r="D26" s="32"/>
      <c r="E26" s="32"/>
      <c r="F26" s="32"/>
      <c r="G26" s="32"/>
      <c r="H26" s="62"/>
      <c r="I26" s="65">
        <f>SUM(I27:I31)</f>
        <v>6012105</v>
      </c>
    </row>
    <row r="27" spans="2:10" ht="17" customHeight="1" x14ac:dyDescent="0.45">
      <c r="B27" s="86"/>
      <c r="C27" s="10">
        <v>46148</v>
      </c>
      <c r="D27" s="37"/>
      <c r="E27" s="37">
        <v>100905</v>
      </c>
      <c r="F27" s="32"/>
      <c r="G27" s="10"/>
      <c r="H27" s="37"/>
      <c r="I27" s="66">
        <f>SUM(D27:H27)</f>
        <v>100905</v>
      </c>
    </row>
    <row r="28" spans="2:10" ht="17.5" customHeight="1" x14ac:dyDescent="0.45">
      <c r="B28" s="86"/>
      <c r="C28" s="10">
        <v>46161</v>
      </c>
      <c r="D28" s="37">
        <v>2549100</v>
      </c>
      <c r="E28" s="37"/>
      <c r="F28" s="37"/>
      <c r="G28" s="37"/>
      <c r="H28" s="37"/>
      <c r="I28" s="66">
        <f>SUM(D28:H28)</f>
        <v>2549100</v>
      </c>
      <c r="J28" s="67">
        <f>SUM(I27:I28)</f>
        <v>2650005</v>
      </c>
    </row>
    <row r="29" spans="2:10" x14ac:dyDescent="0.45">
      <c r="B29" s="86"/>
      <c r="C29" s="10">
        <v>46188</v>
      </c>
      <c r="D29" s="37">
        <v>3362100</v>
      </c>
      <c r="E29" s="37"/>
      <c r="F29" s="37"/>
      <c r="G29" s="37"/>
      <c r="H29" s="37"/>
      <c r="I29" s="66">
        <f>SUM(D29:H29)</f>
        <v>3362100</v>
      </c>
      <c r="J29" s="67"/>
    </row>
    <row r="31" spans="2:10" x14ac:dyDescent="0.45">
      <c r="E31" s="1"/>
    </row>
  </sheetData>
  <mergeCells count="8">
    <mergeCell ref="B26:B29"/>
    <mergeCell ref="I22:I23"/>
    <mergeCell ref="I2:I4"/>
    <mergeCell ref="B5:B7"/>
    <mergeCell ref="B8:B10"/>
    <mergeCell ref="B11:B19"/>
    <mergeCell ref="B2:B4"/>
    <mergeCell ref="B22:B24"/>
  </mergeCells>
  <phoneticPr fontId="4" type="noConversion"/>
  <conditionalFormatting sqref="D15">
    <cfRule type="expression" dxfId="31" priority="49">
      <formula>#REF!+#REF!&gt;0</formula>
    </cfRule>
  </conditionalFormatting>
  <conditionalFormatting sqref="D16:D19">
    <cfRule type="expression" dxfId="30" priority="57">
      <formula>#REF!+#REF!&gt;0</formula>
    </cfRule>
  </conditionalFormatting>
  <conditionalFormatting sqref="D20:G21">
    <cfRule type="expression" dxfId="29" priority="58">
      <formula>B20+#REF!&gt;0</formula>
    </cfRule>
  </conditionalFormatting>
  <conditionalFormatting sqref="D12:I12">
    <cfRule type="expression" dxfId="28" priority="6" stopIfTrue="1">
      <formula>D12&gt;0</formula>
    </cfRule>
  </conditionalFormatting>
  <conditionalFormatting sqref="D12:I13">
    <cfRule type="expression" dxfId="27" priority="2">
      <formula>D12&lt;0</formula>
    </cfRule>
  </conditionalFormatting>
  <conditionalFormatting sqref="D13:I13">
    <cfRule type="expression" dxfId="26" priority="5">
      <formula>D13&gt;0</formula>
    </cfRule>
  </conditionalFormatting>
  <conditionalFormatting sqref="D14:I14">
    <cfRule type="expression" dxfId="25" priority="4">
      <formula>#REF!+C14&gt;0</formula>
    </cfRule>
  </conditionalFormatting>
  <conditionalFormatting sqref="E15:H15">
    <cfRule type="expression" dxfId="24" priority="3">
      <formula>C15+#REF!&gt;0</formula>
    </cfRule>
  </conditionalFormatting>
  <conditionalFormatting sqref="E16:H19">
    <cfRule type="expression" dxfId="23" priority="1">
      <formula>#REF!+#REF!&gt;0</formula>
    </cfRule>
  </conditionalFormatting>
  <conditionalFormatting sqref="H20:H21">
    <cfRule type="expression" dxfId="22" priority="15">
      <formula>F20+#REF!&gt;0</formula>
    </cfRule>
  </conditionalFormatting>
  <conditionalFormatting sqref="I15:I21">
    <cfRule type="expression" dxfId="21" priority="29">
      <formula>G15+#REF!&gt;0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D12" sqref="D12"/>
    </sheetView>
  </sheetViews>
  <sheetFormatPr defaultRowHeight="17" x14ac:dyDescent="0.45"/>
  <cols>
    <col min="1" max="1" width="3.33203125" style="15" customWidth="1"/>
    <col min="2" max="2" width="11" style="15" bestFit="1" customWidth="1"/>
    <col min="3" max="3" width="13" style="15" bestFit="1" customWidth="1"/>
    <col min="4" max="4" width="39" style="15" customWidth="1"/>
    <col min="5" max="5" width="36.6640625" style="15" customWidth="1"/>
    <col min="6" max="6" width="13.83203125" style="15" bestFit="1" customWidth="1"/>
    <col min="7" max="7" width="10.58203125" style="15" bestFit="1" customWidth="1"/>
    <col min="8" max="8" width="14.25" style="15" bestFit="1" customWidth="1"/>
    <col min="9" max="9" width="13.1640625" style="15" bestFit="1" customWidth="1"/>
  </cols>
  <sheetData>
    <row r="1" spans="2:6" ht="17.5" customHeight="1" thickBot="1" x14ac:dyDescent="0.5"/>
    <row r="2" spans="2:6" x14ac:dyDescent="0.45">
      <c r="B2" s="79" t="s">
        <v>14</v>
      </c>
      <c r="C2" s="26" t="s">
        <v>15</v>
      </c>
      <c r="D2" s="27">
        <v>1</v>
      </c>
      <c r="E2" s="27">
        <v>2</v>
      </c>
      <c r="F2" s="76" t="s">
        <v>13</v>
      </c>
    </row>
    <row r="3" spans="2:6" x14ac:dyDescent="0.45">
      <c r="B3" s="80"/>
      <c r="C3" s="33" t="s">
        <v>16</v>
      </c>
      <c r="D3" s="6" t="s">
        <v>44</v>
      </c>
      <c r="E3" s="6"/>
      <c r="F3" s="78"/>
    </row>
    <row r="4" spans="2:6" ht="17.5" customHeight="1" thickBot="1" x14ac:dyDescent="0.5">
      <c r="B4" s="81"/>
      <c r="C4" s="22" t="s">
        <v>20</v>
      </c>
      <c r="D4" s="28" t="s">
        <v>45</v>
      </c>
      <c r="E4" s="28"/>
      <c r="F4" s="77"/>
    </row>
    <row r="5" spans="2:6" x14ac:dyDescent="0.45">
      <c r="B5" s="79" t="s">
        <v>46</v>
      </c>
      <c r="C5" s="17" t="s">
        <v>27</v>
      </c>
      <c r="D5" s="44">
        <v>1</v>
      </c>
      <c r="E5" s="44"/>
      <c r="F5" s="23">
        <f>SUM(A5:E5)</f>
        <v>1</v>
      </c>
    </row>
    <row r="6" spans="2:6" ht="17.5" customHeight="1" x14ac:dyDescent="0.45">
      <c r="B6" s="80"/>
      <c r="C6" s="35" t="s">
        <v>28</v>
      </c>
      <c r="D6" s="45">
        <v>0.9</v>
      </c>
      <c r="E6" s="45"/>
      <c r="F6" s="24"/>
    </row>
    <row r="7" spans="2:6" ht="17.5" customHeight="1" thickBot="1" x14ac:dyDescent="0.5">
      <c r="B7" s="81"/>
      <c r="C7" s="25" t="s">
        <v>47</v>
      </c>
      <c r="D7" s="46">
        <f>Assets!$C4*(D5)*D6</f>
        <v>115200000</v>
      </c>
      <c r="E7" s="46">
        <f>Assets!$C4*(E5)*E6</f>
        <v>0</v>
      </c>
      <c r="F7" s="52">
        <f>SUM(D7:E7)</f>
        <v>115200000</v>
      </c>
    </row>
    <row r="8" spans="2:6" ht="17.5" customHeight="1" x14ac:dyDescent="0.45">
      <c r="B8" s="79" t="s">
        <v>30</v>
      </c>
      <c r="C8" s="48" t="s">
        <v>31</v>
      </c>
      <c r="D8" s="49">
        <v>11281</v>
      </c>
      <c r="E8" s="49"/>
      <c r="F8" s="20"/>
    </row>
    <row r="9" spans="2:6" ht="17.5" customHeight="1" x14ac:dyDescent="0.45">
      <c r="B9" s="80"/>
      <c r="C9" s="50" t="s">
        <v>32</v>
      </c>
      <c r="D9" s="51">
        <v>10131</v>
      </c>
      <c r="E9" s="51"/>
      <c r="F9" s="21"/>
    </row>
    <row r="10" spans="2:6" ht="17.5" customHeight="1" thickBot="1" x14ac:dyDescent="0.5">
      <c r="B10" s="81"/>
      <c r="C10" s="22" t="s">
        <v>1</v>
      </c>
      <c r="D10" s="46">
        <f>D9*D8</f>
        <v>114287811</v>
      </c>
      <c r="E10" s="46">
        <f>E9*E8</f>
        <v>0</v>
      </c>
      <c r="F10" s="52">
        <f>SUM(D10:E10)</f>
        <v>114287811</v>
      </c>
    </row>
    <row r="11" spans="2:6" x14ac:dyDescent="0.45">
      <c r="B11" s="91" t="s">
        <v>33</v>
      </c>
      <c r="C11" s="17" t="s">
        <v>34</v>
      </c>
      <c r="D11" s="53">
        <v>10930</v>
      </c>
      <c r="E11" s="68"/>
      <c r="F11" s="34"/>
    </row>
    <row r="12" spans="2:6" x14ac:dyDescent="0.45">
      <c r="B12" s="80"/>
      <c r="C12" s="33" t="s">
        <v>35</v>
      </c>
      <c r="D12" s="4">
        <f>IF(D9&gt;0, (D11-D9)/D9, 0)</f>
        <v>7.8866844339157041E-2</v>
      </c>
      <c r="E12" s="4">
        <f>IF(E9&gt;0, (E11-E9)/E9, 0)</f>
        <v>0</v>
      </c>
      <c r="F12" s="18">
        <f>IFERROR(F13/F10, 0)</f>
        <v>7.8866844339157041E-2</v>
      </c>
    </row>
    <row r="13" spans="2:6" x14ac:dyDescent="0.45">
      <c r="B13" s="80"/>
      <c r="C13" s="35" t="s">
        <v>36</v>
      </c>
      <c r="D13" s="54">
        <f>D10*D12</f>
        <v>9013519</v>
      </c>
      <c r="E13" s="54">
        <f>E10*E12</f>
        <v>0</v>
      </c>
      <c r="F13" s="55">
        <f>SUM(D13:E13)</f>
        <v>9013519</v>
      </c>
    </row>
    <row r="14" spans="2:6" x14ac:dyDescent="0.45">
      <c r="B14" s="80"/>
      <c r="C14" s="35" t="s">
        <v>48</v>
      </c>
      <c r="D14" s="54">
        <f>D7-D10</f>
        <v>912189</v>
      </c>
      <c r="E14" s="37">
        <f>E7-E10</f>
        <v>0</v>
      </c>
      <c r="F14" s="56">
        <f>SUM(A14:D14)</f>
        <v>912189</v>
      </c>
    </row>
    <row r="15" spans="2:6" ht="17.5" customHeight="1" x14ac:dyDescent="0.45">
      <c r="B15" s="80"/>
      <c r="C15" s="35" t="s">
        <v>49</v>
      </c>
      <c r="D15" s="54">
        <f>IFERROR((D7-D10)/D11, 0)</f>
        <v>83.45736505032022</v>
      </c>
      <c r="E15" s="54">
        <f>IFERROR((E7-E10)/E11, 0)</f>
        <v>0</v>
      </c>
      <c r="F15" s="55">
        <f>IFERROR((F7-F10)/F11, 0)</f>
        <v>0</v>
      </c>
    </row>
    <row r="16" spans="2:6" s="16" customFormat="1" ht="17.5" customHeight="1" x14ac:dyDescent="0.45">
      <c r="B16" s="80"/>
      <c r="C16" s="9">
        <v>0.4</v>
      </c>
      <c r="D16" s="37">
        <f>D$15*Assets!$J3</f>
        <v>33.382946020128088</v>
      </c>
      <c r="E16" s="37">
        <f>E$15*Assets!$J3</f>
        <v>0</v>
      </c>
      <c r="F16" s="55"/>
    </row>
    <row r="17" spans="2:9" s="16" customFormat="1" ht="17.5" customHeight="1" x14ac:dyDescent="0.45">
      <c r="B17" s="80"/>
      <c r="C17" s="9">
        <v>0.3</v>
      </c>
      <c r="D17" s="37">
        <f>D$15*Assets!$J4</f>
        <v>25.037209515096066</v>
      </c>
      <c r="E17" s="37">
        <f>E$15*Assets!$J4</f>
        <v>0</v>
      </c>
      <c r="F17" s="55"/>
    </row>
    <row r="18" spans="2:9" s="16" customFormat="1" ht="17.5" customHeight="1" x14ac:dyDescent="0.45">
      <c r="B18" s="80"/>
      <c r="C18" s="9">
        <v>0.2</v>
      </c>
      <c r="D18" s="37">
        <f>D$15*Assets!$J5</f>
        <v>16.691473010064044</v>
      </c>
      <c r="E18" s="37">
        <f>E$15*Assets!$J5</f>
        <v>0</v>
      </c>
      <c r="F18" s="55"/>
    </row>
    <row r="19" spans="2:9" s="16" customFormat="1" ht="17.5" customHeight="1" thickBot="1" x14ac:dyDescent="0.5">
      <c r="B19" s="92"/>
      <c r="C19" s="19">
        <v>0.1</v>
      </c>
      <c r="D19" s="57">
        <f>D$15*Assets!$J6</f>
        <v>8.345736505032022</v>
      </c>
      <c r="E19" s="57">
        <f>E$15*Assets!$J6</f>
        <v>0</v>
      </c>
      <c r="F19" s="58"/>
    </row>
    <row r="20" spans="2:9" s="16" customFormat="1" ht="17.5" customHeight="1" x14ac:dyDescent="0.45">
      <c r="C20" s="5"/>
      <c r="D20" s="59">
        <f>D11*D16</f>
        <v>364875.6</v>
      </c>
      <c r="E20" s="60"/>
      <c r="F20" s="60"/>
    </row>
    <row r="21" spans="2:9" s="16" customFormat="1" ht="17.5" customHeight="1" x14ac:dyDescent="0.45">
      <c r="C21" s="5"/>
      <c r="D21" s="59"/>
      <c r="E21" s="60"/>
      <c r="F21" s="60"/>
    </row>
    <row r="22" spans="2:9" x14ac:dyDescent="0.45">
      <c r="B22" s="74" t="s">
        <v>38</v>
      </c>
      <c r="C22" s="33" t="s">
        <v>39</v>
      </c>
      <c r="D22" s="69">
        <f>D8+D15</f>
        <v>11364.457365050321</v>
      </c>
      <c r="E22" s="69">
        <f>E8+E15</f>
        <v>0</v>
      </c>
      <c r="F22" s="90" t="s">
        <v>40</v>
      </c>
    </row>
    <row r="23" spans="2:9" x14ac:dyDescent="0.45">
      <c r="B23" s="88"/>
      <c r="C23" s="33" t="s">
        <v>41</v>
      </c>
      <c r="D23" s="62">
        <f>IF(D10&gt;0,(((D8*D9)+(D15*D11))/(D8+D15)),0)</f>
        <v>10136.867630326131</v>
      </c>
      <c r="E23" s="62">
        <f>IF(E10&gt;0,(((E8*E9)+(E15*E11))/(E8+E15)),0)</f>
        <v>0</v>
      </c>
      <c r="F23" s="89"/>
    </row>
    <row r="24" spans="2:9" ht="17.5" customHeight="1" x14ac:dyDescent="0.45">
      <c r="B24" s="89"/>
      <c r="C24" s="35" t="s">
        <v>50</v>
      </c>
      <c r="D24" s="70">
        <f>D22*D23</f>
        <v>115199999.99999999</v>
      </c>
      <c r="E24" s="70">
        <f>E22*E23</f>
        <v>0</v>
      </c>
      <c r="F24" s="71">
        <f>SUM(D24:E24)</f>
        <v>115199999.99999999</v>
      </c>
    </row>
    <row r="26" spans="2:9" s="16" customFormat="1" x14ac:dyDescent="0.45">
      <c r="B26" s="87" t="s">
        <v>42</v>
      </c>
      <c r="C26" s="35" t="s">
        <v>13</v>
      </c>
      <c r="D26" s="32"/>
      <c r="E26" s="32"/>
      <c r="F26" s="65">
        <f>SUM(F27:F34)</f>
        <v>3034681</v>
      </c>
    </row>
    <row r="27" spans="2:9" ht="17" customHeight="1" x14ac:dyDescent="0.45">
      <c r="B27" s="88"/>
      <c r="C27" s="10">
        <v>46148</v>
      </c>
      <c r="D27" s="37">
        <v>1434641</v>
      </c>
      <c r="E27" s="37">
        <v>40664</v>
      </c>
      <c r="F27" s="66">
        <f>SUM(D27:E27)</f>
        <v>1475305</v>
      </c>
      <c r="G27" s="67">
        <f>SUM(F27)</f>
        <v>1475305</v>
      </c>
      <c r="H27" s="36"/>
    </row>
    <row r="28" spans="2:9" x14ac:dyDescent="0.45">
      <c r="B28" s="89"/>
      <c r="C28" s="10">
        <v>46175</v>
      </c>
      <c r="D28" s="37">
        <v>1559376</v>
      </c>
      <c r="E28" s="37">
        <v>0</v>
      </c>
      <c r="F28" s="66">
        <f>SUM(D28:E28)</f>
        <v>1559376</v>
      </c>
      <c r="G28" s="67">
        <f>SUM(F28)</f>
        <v>1559376</v>
      </c>
      <c r="H28" s="72"/>
      <c r="I28" s="72"/>
    </row>
    <row r="29" spans="2:9" x14ac:dyDescent="0.45">
      <c r="D29" s="59"/>
      <c r="H29" s="72"/>
      <c r="I29" s="72"/>
    </row>
    <row r="30" spans="2:9" x14ac:dyDescent="0.45">
      <c r="D30" s="59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6:D19">
    <cfRule type="expression" dxfId="20" priority="3">
      <formula>#REF!+#REF!&gt;0</formula>
    </cfRule>
  </conditionalFormatting>
  <conditionalFormatting sqref="D15:E15">
    <cfRule type="expression" dxfId="19" priority="2">
      <formula>#REF!+#REF!&gt;0</formula>
    </cfRule>
  </conditionalFormatting>
  <conditionalFormatting sqref="D12:F12">
    <cfRule type="expression" dxfId="18" priority="9" stopIfTrue="1">
      <formula>D12&gt;0</formula>
    </cfRule>
  </conditionalFormatting>
  <conditionalFormatting sqref="D12:F13">
    <cfRule type="expression" dxfId="17" priority="7">
      <formula>D12&lt;0</formula>
    </cfRule>
  </conditionalFormatting>
  <conditionalFormatting sqref="D13:F13">
    <cfRule type="expression" dxfId="16" priority="17">
      <formula>D13&gt;0</formula>
    </cfRule>
  </conditionalFormatting>
  <conditionalFormatting sqref="D14:F14">
    <cfRule type="expression" dxfId="15" priority="13">
      <formula>#REF!+C14&gt;0</formula>
    </cfRule>
  </conditionalFormatting>
  <conditionalFormatting sqref="E16:E19">
    <cfRule type="expression" dxfId="14" priority="1">
      <formula>#REF!+#REF!&gt;0</formula>
    </cfRule>
  </conditionalFormatting>
  <conditionalFormatting sqref="F15:F19 E20:F21">
    <cfRule type="expression" dxfId="13" priority="12">
      <formula>C15+#REF!&gt;0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D43" sqref="D43"/>
    </sheetView>
  </sheetViews>
  <sheetFormatPr defaultRowHeight="17" x14ac:dyDescent="0.45"/>
  <cols>
    <col min="1" max="1" width="3.6640625" style="15" customWidth="1"/>
    <col min="2" max="2" width="11" style="15" bestFit="1" customWidth="1"/>
    <col min="3" max="3" width="13" style="15" bestFit="1" customWidth="1"/>
    <col min="4" max="4" width="38.83203125" style="15" bestFit="1" customWidth="1"/>
    <col min="5" max="5" width="36.83203125" style="15" customWidth="1"/>
    <col min="6" max="6" width="12.6640625" style="15" bestFit="1" customWidth="1"/>
    <col min="7" max="7" width="9.08203125" style="15" bestFit="1" customWidth="1"/>
  </cols>
  <sheetData>
    <row r="1" spans="2:6" ht="17.5" customHeight="1" thickBot="1" x14ac:dyDescent="0.5"/>
    <row r="2" spans="2:6" x14ac:dyDescent="0.45">
      <c r="B2" s="79" t="s">
        <v>14</v>
      </c>
      <c r="C2" s="26" t="s">
        <v>15</v>
      </c>
      <c r="D2" s="27">
        <v>1</v>
      </c>
      <c r="E2" s="27">
        <v>2</v>
      </c>
      <c r="F2" s="76" t="s">
        <v>13</v>
      </c>
    </row>
    <row r="3" spans="2:6" x14ac:dyDescent="0.45">
      <c r="B3" s="80"/>
      <c r="C3" s="33" t="s">
        <v>16</v>
      </c>
      <c r="D3" s="6" t="s">
        <v>19</v>
      </c>
      <c r="E3" s="7"/>
      <c r="F3" s="78"/>
    </row>
    <row r="4" spans="2:6" ht="17.5" customHeight="1" thickBot="1" x14ac:dyDescent="0.5">
      <c r="B4" s="81"/>
      <c r="C4" s="22" t="s">
        <v>20</v>
      </c>
      <c r="D4" s="28" t="s">
        <v>25</v>
      </c>
      <c r="E4" s="28"/>
      <c r="F4" s="77"/>
    </row>
    <row r="5" spans="2:6" x14ac:dyDescent="0.45">
      <c r="B5" s="79" t="s">
        <v>46</v>
      </c>
      <c r="C5" s="17" t="s">
        <v>27</v>
      </c>
      <c r="D5" s="44">
        <v>1</v>
      </c>
      <c r="E5" s="44"/>
      <c r="F5" s="23">
        <f>SUM(A5:E5)</f>
        <v>1</v>
      </c>
    </row>
    <row r="6" spans="2:6" x14ac:dyDescent="0.45">
      <c r="B6" s="80"/>
      <c r="C6" s="35" t="s">
        <v>28</v>
      </c>
      <c r="D6" s="45">
        <v>1</v>
      </c>
      <c r="E6" s="45"/>
      <c r="F6" s="24"/>
    </row>
    <row r="7" spans="2:6" ht="17.5" customHeight="1" thickBot="1" x14ac:dyDescent="0.5">
      <c r="B7" s="81"/>
      <c r="C7" s="25" t="s">
        <v>47</v>
      </c>
      <c r="D7" s="46">
        <f>Assets!$C5*(D5)*D6</f>
        <v>13500000</v>
      </c>
      <c r="E7" s="46">
        <f>Assets!$C5*(E5)*E6</f>
        <v>0</v>
      </c>
      <c r="F7" s="52">
        <f>SUM(A7:D7)</f>
        <v>13500000</v>
      </c>
    </row>
    <row r="8" spans="2:6" x14ac:dyDescent="0.45">
      <c r="B8" s="79" t="s">
        <v>30</v>
      </c>
      <c r="C8" s="48" t="s">
        <v>31</v>
      </c>
      <c r="D8" s="49">
        <v>1771</v>
      </c>
      <c r="E8" s="49"/>
      <c r="F8" s="20"/>
    </row>
    <row r="9" spans="2:6" x14ac:dyDescent="0.45">
      <c r="B9" s="80"/>
      <c r="C9" s="50" t="s">
        <v>32</v>
      </c>
      <c r="D9" s="51">
        <v>7688</v>
      </c>
      <c r="E9" s="51"/>
      <c r="F9" s="21"/>
    </row>
    <row r="10" spans="2:6" ht="17.5" customHeight="1" thickBot="1" x14ac:dyDescent="0.5">
      <c r="B10" s="81"/>
      <c r="C10" s="22" t="s">
        <v>1</v>
      </c>
      <c r="D10" s="46">
        <f>D9*D8</f>
        <v>13615448</v>
      </c>
      <c r="E10" s="46">
        <f>E9*E8</f>
        <v>0</v>
      </c>
      <c r="F10" s="52">
        <f>SUM(A10:D10)</f>
        <v>13615448</v>
      </c>
    </row>
    <row r="11" spans="2:6" x14ac:dyDescent="0.45">
      <c r="B11" s="91" t="s">
        <v>33</v>
      </c>
      <c r="C11" s="17" t="s">
        <v>34</v>
      </c>
      <c r="D11" s="53">
        <v>7800</v>
      </c>
      <c r="E11" s="73"/>
      <c r="F11" s="34"/>
    </row>
    <row r="12" spans="2:6" x14ac:dyDescent="0.45">
      <c r="B12" s="80"/>
      <c r="C12" s="33" t="s">
        <v>35</v>
      </c>
      <c r="D12" s="4">
        <f>IF(D9&gt;0, (D11-D9)/D9, 0)</f>
        <v>1.4568158168574402E-2</v>
      </c>
      <c r="E12" s="4">
        <f>IF(E9&gt;0, (E11-E9)/E9, 0)</f>
        <v>0</v>
      </c>
      <c r="F12" s="18">
        <f>IFERROR(F13/F10, 0)</f>
        <v>1.4568158168574402E-2</v>
      </c>
    </row>
    <row r="13" spans="2:6" x14ac:dyDescent="0.45">
      <c r="B13" s="80"/>
      <c r="C13" s="35" t="s">
        <v>36</v>
      </c>
      <c r="D13" s="54">
        <f>D10*D12</f>
        <v>198352</v>
      </c>
      <c r="E13" s="54">
        <f>E10*E12</f>
        <v>0</v>
      </c>
      <c r="F13" s="55">
        <f>SUM(A13:D13)</f>
        <v>198352</v>
      </c>
    </row>
    <row r="14" spans="2:6" x14ac:dyDescent="0.45">
      <c r="B14" s="80"/>
      <c r="C14" s="35" t="s">
        <v>51</v>
      </c>
      <c r="D14" s="37">
        <f>D7-D10</f>
        <v>-115448</v>
      </c>
      <c r="E14" s="37">
        <f>E7-E10</f>
        <v>0</v>
      </c>
      <c r="F14" s="56">
        <f>SUM(A14:D14)</f>
        <v>-115448</v>
      </c>
    </row>
    <row r="15" spans="2:6" x14ac:dyDescent="0.45">
      <c r="B15" s="80"/>
      <c r="C15" s="35" t="s">
        <v>37</v>
      </c>
      <c r="D15" s="54">
        <f>IFERROR((D7-D10)/D11, 0)</f>
        <v>-14.801025641025641</v>
      </c>
      <c r="E15" s="54">
        <f>IFERROR((E7-E10)/E11, 0)</f>
        <v>0</v>
      </c>
      <c r="F15" s="55">
        <f>IFERROR((F7-F10)/F11, 0)</f>
        <v>0</v>
      </c>
    </row>
    <row r="16" spans="2:6" s="16" customFormat="1" x14ac:dyDescent="0.45">
      <c r="B16" s="80"/>
      <c r="C16" s="9">
        <v>0.4</v>
      </c>
      <c r="D16" s="37">
        <f>D$15*Assets!$J3</f>
        <v>-5.920410256410257</v>
      </c>
      <c r="E16" s="37">
        <f>E$15*Assets!$J3</f>
        <v>0</v>
      </c>
      <c r="F16" s="55"/>
    </row>
    <row r="17" spans="2:7" s="16" customFormat="1" x14ac:dyDescent="0.45">
      <c r="B17" s="80"/>
      <c r="C17" s="9">
        <v>0.3</v>
      </c>
      <c r="D17" s="37">
        <f>D$15*Assets!$J4</f>
        <v>-4.4403076923076918</v>
      </c>
      <c r="E17" s="37">
        <f>E$15*Assets!$J4</f>
        <v>0</v>
      </c>
      <c r="F17" s="55"/>
    </row>
    <row r="18" spans="2:7" s="16" customFormat="1" x14ac:dyDescent="0.45">
      <c r="B18" s="80"/>
      <c r="C18" s="9">
        <v>0.2</v>
      </c>
      <c r="D18" s="37">
        <f>D$15*Assets!$J5</f>
        <v>-2.9602051282051285</v>
      </c>
      <c r="E18" s="37">
        <f>E$15*Assets!$J5</f>
        <v>0</v>
      </c>
      <c r="F18" s="55"/>
    </row>
    <row r="19" spans="2:7" s="16" customFormat="1" ht="17.5" customHeight="1" thickBot="1" x14ac:dyDescent="0.5">
      <c r="B19" s="92"/>
      <c r="C19" s="19">
        <v>0.1</v>
      </c>
      <c r="D19" s="57">
        <f>D$15*Assets!$J6</f>
        <v>-1.4801025641025642</v>
      </c>
      <c r="E19" s="57">
        <f>E$15*Assets!$J6</f>
        <v>0</v>
      </c>
      <c r="F19" s="58"/>
    </row>
    <row r="20" spans="2:7" s="16" customFormat="1" x14ac:dyDescent="0.45">
      <c r="C20" s="5"/>
      <c r="D20" s="59">
        <f>D11*D16</f>
        <v>-46179.200000000004</v>
      </c>
      <c r="E20" s="60"/>
      <c r="F20" s="60"/>
    </row>
    <row r="21" spans="2:7" s="16" customFormat="1" x14ac:dyDescent="0.45">
      <c r="C21" s="5"/>
      <c r="D21" s="60"/>
      <c r="E21" s="60"/>
      <c r="F21" s="60"/>
    </row>
    <row r="22" spans="2:7" x14ac:dyDescent="0.45">
      <c r="B22" s="74" t="s">
        <v>38</v>
      </c>
      <c r="C22" s="33" t="s">
        <v>39</v>
      </c>
      <c r="D22" s="69">
        <f>D8+D15</f>
        <v>1756.1989743589743</v>
      </c>
      <c r="E22" s="69">
        <f>E8+E15</f>
        <v>0</v>
      </c>
      <c r="F22" s="90" t="s">
        <v>40</v>
      </c>
    </row>
    <row r="23" spans="2:7" x14ac:dyDescent="0.45">
      <c r="B23" s="88"/>
      <c r="C23" s="33" t="s">
        <v>41</v>
      </c>
      <c r="D23" s="62">
        <f>IF(D10&gt;0,(((D8*D9)+(D15*D11))/(D8+D15)),0)</f>
        <v>7687.0560779866082</v>
      </c>
      <c r="E23" s="62">
        <f>IF(E10&gt;0,(((E8*E9)+(E15*E11))/(E8+E15)),0)</f>
        <v>0</v>
      </c>
      <c r="F23" s="89"/>
    </row>
    <row r="24" spans="2:7" x14ac:dyDescent="0.45">
      <c r="B24" s="89"/>
      <c r="C24" s="35" t="s">
        <v>50</v>
      </c>
      <c r="D24" s="70">
        <f>D22*D23</f>
        <v>13500000</v>
      </c>
      <c r="E24" s="70">
        <f>E22*E23</f>
        <v>0</v>
      </c>
      <c r="F24" s="71">
        <f>SUM(A24:D24)</f>
        <v>13500000</v>
      </c>
    </row>
    <row r="26" spans="2:7" s="16" customFormat="1" x14ac:dyDescent="0.45">
      <c r="B26" s="93" t="s">
        <v>42</v>
      </c>
      <c r="C26" s="35" t="s">
        <v>13</v>
      </c>
      <c r="D26" s="32"/>
      <c r="E26" s="32"/>
      <c r="F26" s="65">
        <f>SUM(F27:F28)</f>
        <v>274721</v>
      </c>
    </row>
    <row r="27" spans="2:7" ht="17" customHeight="1" x14ac:dyDescent="0.45">
      <c r="B27" s="94"/>
      <c r="C27" s="10">
        <v>46161</v>
      </c>
      <c r="D27" s="37">
        <v>136591</v>
      </c>
      <c r="E27" s="10"/>
      <c r="F27" s="66">
        <f>SUM(D27:E27)</f>
        <v>136591</v>
      </c>
      <c r="G27" s="67"/>
    </row>
    <row r="28" spans="2:7" x14ac:dyDescent="0.45">
      <c r="B28" s="95"/>
      <c r="C28" s="10">
        <v>46190</v>
      </c>
      <c r="D28" s="37">
        <v>138130</v>
      </c>
      <c r="E28" s="37"/>
      <c r="F28" s="65">
        <f>SUM(D28:E28)</f>
        <v>138130</v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5">
    <cfRule type="expression" dxfId="12" priority="3">
      <formula>#REF!+#REF!&gt;0</formula>
    </cfRule>
  </conditionalFormatting>
  <conditionalFormatting sqref="D16:D19">
    <cfRule type="expression" dxfId="11" priority="4">
      <formula>#REF!+#REF!&gt;0</formula>
    </cfRule>
  </conditionalFormatting>
  <conditionalFormatting sqref="D12:E12">
    <cfRule type="expression" dxfId="10" priority="20" stopIfTrue="1">
      <formula>D12&gt;0</formula>
    </cfRule>
  </conditionalFormatting>
  <conditionalFormatting sqref="D12:E13">
    <cfRule type="expression" dxfId="9" priority="17">
      <formula>D12&lt;0</formula>
    </cfRule>
  </conditionalFormatting>
  <conditionalFormatting sqref="D13:E13">
    <cfRule type="expression" dxfId="8" priority="18">
      <formula>D13&gt;0</formula>
    </cfRule>
  </conditionalFormatting>
  <conditionalFormatting sqref="D14:F14">
    <cfRule type="expression" dxfId="7" priority="14">
      <formula>#REF!+C14&gt;0</formula>
    </cfRule>
  </conditionalFormatting>
  <conditionalFormatting sqref="E15:E19">
    <cfRule type="expression" dxfId="6" priority="1">
      <formula>#REF!+#REF!&gt;0</formula>
    </cfRule>
  </conditionalFormatting>
  <conditionalFormatting sqref="F12">
    <cfRule type="expression" dxfId="5" priority="9">
      <formula>F12&lt;0</formula>
    </cfRule>
    <cfRule type="expression" dxfId="4" priority="10" stopIfTrue="1">
      <formula>F12&gt;0</formula>
    </cfRule>
  </conditionalFormatting>
  <conditionalFormatting sqref="F13">
    <cfRule type="expression" dxfId="3" priority="11">
      <formula>E13&lt;0</formula>
    </cfRule>
    <cfRule type="expression" dxfId="2" priority="12">
      <formula>E13&gt;0</formula>
    </cfRule>
  </conditionalFormatting>
  <conditionalFormatting sqref="F15 D20:F21">
    <cfRule type="expression" dxfId="1" priority="13">
      <formula>B15+#REF!&gt;0</formula>
    </cfRule>
  </conditionalFormatting>
  <conditionalFormatting sqref="F16:F19">
    <cfRule type="expression" dxfId="0" priority="8">
      <formula>D16+#REF!&gt;0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2026-06-18T04:05:34Z</dcterms:modified>
  <cp:version>1300.0100.01</cp:version>
</cp:coreProperties>
</file>