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4740" yWindow="850" windowWidth="23150" windowHeight="1877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146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10" fontId="5" fillId="3" borderId="9" applyAlignment="1" pivotButton="0" quotePrefix="0" xfId="1">
      <alignment vertical="center"/>
    </xf>
    <xf numFmtId="9" fontId="3" fillId="0" borderId="11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9" fontId="3" fillId="0" borderId="7" applyAlignment="1" pivotButton="0" quotePrefix="0" xfId="1">
      <alignment vertical="center"/>
    </xf>
    <xf numFmtId="9" fontId="3" fillId="0" borderId="9" applyAlignment="1" pivotButton="0" quotePrefix="0" xfId="1">
      <alignment vertical="center"/>
    </xf>
    <xf numFmtId="0" fontId="3" fillId="0" borderId="1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4" fontId="0" fillId="0" borderId="6" pivotButton="0" quotePrefix="0" xfId="0"/>
    <xf numFmtId="0" fontId="0" fillId="0" borderId="6" pivotButton="0" quotePrefix="0" xfId="0"/>
    <xf numFmtId="14" fontId="0" fillId="0" borderId="11" pivotButton="0" quotePrefix="0" xfId="0"/>
    <xf numFmtId="10" fontId="3" fillId="0" borderId="1" applyAlignment="1" pivotButton="0" quotePrefix="0" xfId="1">
      <alignment vertical="center"/>
    </xf>
    <xf numFmtId="0" fontId="0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6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1" applyAlignment="1" pivotButton="0" quotePrefix="0" xfId="2">
      <alignment horizontal="right" vertical="center"/>
    </xf>
    <xf numFmtId="164" fontId="3" fillId="0" borderId="12" applyAlignment="1" pivotButton="0" quotePrefix="0" xfId="0">
      <alignment vertical="center"/>
    </xf>
    <xf numFmtId="164" fontId="0" fillId="0" borderId="6" applyAlignment="1" pivotButton="0" quotePrefix="0" xfId="2">
      <alignment horizontal="center" vertical="center"/>
    </xf>
    <xf numFmtId="164" fontId="2" fillId="2" borderId="6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2" applyAlignment="1" pivotButton="0" quotePrefix="0" xfId="0">
      <alignment vertical="center"/>
    </xf>
    <xf numFmtId="164" fontId="10" fillId="2" borderId="6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9" applyAlignment="1" pivotButton="0" quotePrefix="0" xfId="2">
      <alignment vertical="center"/>
    </xf>
    <xf numFmtId="164" fontId="3" fillId="0" borderId="9" applyAlignment="1" pivotButton="0" quotePrefix="0" xfId="2">
      <alignment vertical="center"/>
    </xf>
    <xf numFmtId="164" fontId="3" fillId="0" borderId="11" applyAlignment="1" pivotButton="0" quotePrefix="0" xfId="2">
      <alignment vertical="center"/>
    </xf>
    <xf numFmtId="164" fontId="2" fillId="0" borderId="12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6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2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3" fillId="0" borderId="6" applyAlignment="1" pivotButton="0" quotePrefix="0" xfId="2">
      <alignment vertical="center"/>
    </xf>
    <xf numFmtId="164" fontId="3" fillId="0" borderId="7" applyAlignment="1" pivotButton="0" quotePrefix="0" xfId="1">
      <alignment vertical="center"/>
    </xf>
    <xf numFmtId="164" fontId="3" fillId="0" borderId="12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9" fillId="2" borderId="6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3" fillId="0" borderId="1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8" fillId="2" borderId="6" applyAlignment="1" pivotButton="0" quotePrefix="0" xfId="2">
      <alignment vertical="center"/>
    </xf>
    <xf numFmtId="164" fontId="0" fillId="0" borderId="1" pivotButton="0" quotePrefix="0" xfId="0"/>
    <xf numFmtId="164" fontId="7" fillId="4" borderId="1" applyAlignment="1" pivotButton="0" quotePrefix="0" xfId="2">
      <alignment horizontal="center" vertical="center"/>
    </xf>
    <xf numFmtId="0" fontId="0" fillId="0" borderId="5" pivotButton="0" quotePrefix="0" xfId="0"/>
    <xf numFmtId="164" fontId="7" fillId="4" borderId="13" applyAlignment="1" pivotButton="0" quotePrefix="0" xfId="2">
      <alignment horizontal="center" vertical="center" wrapText="1"/>
    </xf>
    <xf numFmtId="0" fontId="0" fillId="0" borderId="19" pivotButton="0" quotePrefix="0" xfId="0"/>
    <xf numFmtId="164" fontId="7" fillId="4" borderId="13" applyAlignment="1" pivotButton="0" quotePrefix="0" xfId="2">
      <alignment horizontal="center" vertical="center"/>
    </xf>
    <xf numFmtId="0" fontId="0" fillId="0" borderId="14" pivotButton="0" quotePrefix="0" xfId="0"/>
    <xf numFmtId="0" fontId="3" fillId="0" borderId="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6" pivotButton="0" quotePrefix="0" xfId="0"/>
    <xf numFmtId="0" fontId="7" fillId="4" borderId="13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164" fontId="7" fillId="4" borderId="4" applyAlignment="1" pivotButton="0" quotePrefix="0" xfId="2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7" fillId="4" borderId="21" applyAlignment="1" pivotButton="0" quotePrefix="0" xfId="2">
      <alignment horizontal="center" vertical="center"/>
    </xf>
    <xf numFmtId="0" fontId="0" fillId="0" borderId="15" pivotButton="0" quotePrefix="0" xfId="0"/>
    <xf numFmtId="0" fontId="0" fillId="0" borderId="2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6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1" applyAlignment="1" pivotButton="0" quotePrefix="0" xfId="2">
      <alignment horizontal="right" vertical="center"/>
    </xf>
    <xf numFmtId="164" fontId="3" fillId="0" borderId="12" applyAlignment="1" pivotButton="0" quotePrefix="0" xfId="0">
      <alignment vertical="center"/>
    </xf>
    <xf numFmtId="164" fontId="0" fillId="0" borderId="6" applyAlignment="1" pivotButton="0" quotePrefix="0" xfId="2">
      <alignment horizontal="center" vertical="center"/>
    </xf>
    <xf numFmtId="164" fontId="2" fillId="2" borderId="6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2" applyAlignment="1" pivotButton="0" quotePrefix="0" xfId="0">
      <alignment vertical="center"/>
    </xf>
    <xf numFmtId="164" fontId="7" fillId="4" borderId="20" applyAlignment="1" pivotButton="0" quotePrefix="0" xfId="2">
      <alignment horizontal="center" vertical="center"/>
    </xf>
    <xf numFmtId="164" fontId="11" fillId="2" borderId="6" applyAlignment="1" pivotButton="0" quotePrefix="0" xfId="2">
      <alignment vertical="center"/>
    </xf>
    <xf numFmtId="164" fontId="10" fillId="2" borderId="6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9" applyAlignment="1" pivotButton="0" quotePrefix="0" xfId="2">
      <alignment vertical="center"/>
    </xf>
    <xf numFmtId="164" fontId="3" fillId="0" borderId="9" applyAlignment="1" pivotButton="0" quotePrefix="0" xfId="2">
      <alignment vertical="center"/>
    </xf>
    <xf numFmtId="164" fontId="3" fillId="0" borderId="11" applyAlignment="1" pivotButton="0" quotePrefix="0" xfId="2">
      <alignment vertical="center"/>
    </xf>
    <xf numFmtId="164" fontId="2" fillId="0" borderId="12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3" applyAlignment="1" pivotButton="0" quotePrefix="0" xfId="2">
      <alignment horizontal="center" vertical="center"/>
    </xf>
    <xf numFmtId="164" fontId="3" fillId="0" borderId="6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2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13" applyAlignment="1" pivotButton="0" quotePrefix="0" xfId="2">
      <alignment horizontal="center" vertical="center" wrapText="1"/>
    </xf>
    <xf numFmtId="164" fontId="3" fillId="0" borderId="6" applyAlignment="1" pivotButton="0" quotePrefix="0" xfId="2">
      <alignment vertical="center"/>
    </xf>
    <xf numFmtId="164" fontId="3" fillId="0" borderId="7" applyAlignment="1" pivotButton="0" quotePrefix="0" xfId="1">
      <alignment vertical="center"/>
    </xf>
    <xf numFmtId="164" fontId="3" fillId="0" borderId="12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7" fillId="4" borderId="21" applyAlignment="1" pivotButton="0" quotePrefix="0" xfId="2">
      <alignment horizontal="center" vertical="center"/>
    </xf>
    <xf numFmtId="164" fontId="9" fillId="2" borderId="6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4" applyAlignment="1" pivotButton="0" quotePrefix="0" xfId="2">
      <alignment horizontal="center" vertical="center" wrapText="1"/>
    </xf>
    <xf numFmtId="164" fontId="3" fillId="0" borderId="1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8" fillId="2" borderId="6" applyAlignment="1" pivotButton="0" quotePrefix="0" xfId="2">
      <alignment vertical="center"/>
    </xf>
    <xf numFmtId="164" fontId="0" fillId="0" borderId="1" pivotButton="0" quotePrefix="0" xfId="0"/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F33" sqref="F33"/>
    </sheetView>
  </sheetViews>
  <sheetFormatPr baseColWidth="8" defaultRowHeight="17"/>
  <cols>
    <col width="14.25" bestFit="1" customWidth="1" style="17" min="2" max="2"/>
    <col width="17.4140625" customWidth="1" style="17" min="3" max="3"/>
    <col width="14.25" bestFit="1" customWidth="1" style="17" min="4" max="4"/>
    <col width="14.25" customWidth="1" style="17" min="5" max="5"/>
    <col width="14.25" bestFit="1" customWidth="1" style="17" min="6" max="6"/>
    <col width="14.25" customWidth="1" style="17" min="7" max="7"/>
    <col width="12.6640625" bestFit="1" customWidth="1" style="17" min="8" max="8"/>
    <col width="2.4140625" customWidth="1" style="17" min="9" max="9"/>
  </cols>
  <sheetData>
    <row r="1" customFormat="1" s="18"/>
    <row r="2">
      <c r="B2" s="4" t="n"/>
      <c r="C2" s="3" t="inlineStr">
        <is>
          <t>한도액</t>
        </is>
      </c>
      <c r="D2" s="3" t="inlineStr">
        <is>
          <t>투자금</t>
        </is>
      </c>
      <c r="E2" s="3" t="inlineStr">
        <is>
          <t>투자비율</t>
        </is>
      </c>
      <c r="F2" s="3" t="inlineStr">
        <is>
          <t>순자산총액</t>
        </is>
      </c>
      <c r="G2" s="3" t="inlineStr">
        <is>
          <t>이자</t>
        </is>
      </c>
      <c r="H2" s="3" t="inlineStr">
        <is>
          <t>평가손익</t>
        </is>
      </c>
      <c r="J2" s="9" t="inlineStr">
        <is>
          <t>매매비율</t>
        </is>
      </c>
    </row>
    <row r="3">
      <c r="B3" s="2" t="inlineStr">
        <is>
          <t>CMA</t>
        </is>
      </c>
      <c r="C3" s="99">
        <f>ROUNDDOWN(F3-H3, -7)</f>
        <v/>
      </c>
      <c r="D3" s="99">
        <f>CMA!I10</f>
        <v/>
      </c>
      <c r="E3" s="34">
        <f>D3/C3</f>
        <v/>
      </c>
      <c r="F3" s="100" t="n">
        <v>1285000000</v>
      </c>
      <c r="G3" s="100" t="n"/>
      <c r="H3" s="101">
        <f>CMA!I13</f>
        <v/>
      </c>
      <c r="J3" s="12" t="n">
        <v>0.4</v>
      </c>
    </row>
    <row r="4">
      <c r="B4" s="2" t="inlineStr">
        <is>
          <t>연금저축(신)</t>
        </is>
      </c>
      <c r="C4" s="99">
        <f>ROUNDDOWN(F4-H4, -6)</f>
        <v/>
      </c>
      <c r="D4" s="99">
        <f>개인연금!F10</f>
        <v/>
      </c>
      <c r="E4" s="34">
        <f>D4/C4</f>
        <v/>
      </c>
      <c r="F4" s="100" t="n">
        <v>136500000</v>
      </c>
      <c r="G4" s="100" t="n">
        <v>0</v>
      </c>
      <c r="H4" s="101">
        <f>개인연금!F13+G4</f>
        <v/>
      </c>
      <c r="J4" s="12" t="n">
        <v>0.3</v>
      </c>
    </row>
    <row r="5">
      <c r="B5" s="2" t="inlineStr">
        <is>
          <t>IRP</t>
        </is>
      </c>
      <c r="C5" s="99">
        <f>ROUNDDOWN(F5-H5, -5)</f>
        <v/>
      </c>
      <c r="D5" s="99">
        <f>퇴직연금!F10</f>
        <v/>
      </c>
      <c r="E5" s="34">
        <f>D5/C5</f>
        <v/>
      </c>
      <c r="F5" s="100" t="n">
        <v>13700000</v>
      </c>
      <c r="G5" s="100" t="n">
        <v>0</v>
      </c>
      <c r="H5" s="101">
        <f>퇴직연금!F13+G5</f>
        <v/>
      </c>
      <c r="J5" s="12" t="n">
        <v>0.2</v>
      </c>
    </row>
    <row r="6">
      <c r="D6" s="102" t="n"/>
      <c r="E6" s="102" t="n"/>
      <c r="F6" s="102" t="n"/>
      <c r="H6" s="102" t="n"/>
      <c r="J6" s="12" t="n">
        <v>0.1</v>
      </c>
    </row>
    <row r="7">
      <c r="B7" s="103" t="inlineStr">
        <is>
          <t>총자산</t>
        </is>
      </c>
      <c r="C7" s="80" t="n"/>
    </row>
    <row r="8">
      <c r="A8" s="18" t="n"/>
      <c r="B8" s="34">
        <f>C17/C11</f>
        <v/>
      </c>
      <c r="C8" s="104">
        <f>SUM(F3,F4,F5)</f>
        <v/>
      </c>
    </row>
    <row r="10">
      <c r="A10" s="18" t="n"/>
      <c r="B10" s="103" t="inlineStr">
        <is>
          <t>원금</t>
        </is>
      </c>
      <c r="C10" s="80" t="n"/>
    </row>
    <row r="11" customFormat="1" s="18">
      <c r="B11" s="9" t="n"/>
      <c r="C11" s="104">
        <f>SUM(C3,C4,C5)</f>
        <v/>
      </c>
    </row>
    <row r="12">
      <c r="A12" s="18" t="n"/>
    </row>
    <row r="13" customFormat="1" s="18">
      <c r="B13" s="103" t="inlineStr">
        <is>
          <t>투자금</t>
        </is>
      </c>
      <c r="C13" s="80" t="n"/>
    </row>
    <row r="14" customFormat="1" s="18">
      <c r="B14" s="34">
        <f>C14/C11</f>
        <v/>
      </c>
      <c r="C14" s="105">
        <f>SUM(D3:D5)</f>
        <v/>
      </c>
    </row>
    <row r="15" customFormat="1" s="18"/>
    <row r="16" customFormat="1" s="18">
      <c r="B16" s="103" t="inlineStr">
        <is>
          <t>평가손익</t>
        </is>
      </c>
      <c r="C16" s="80" t="n"/>
    </row>
    <row r="17" customFormat="1" s="18">
      <c r="B17" s="34">
        <f>C17/C14</f>
        <v/>
      </c>
      <c r="C17" s="104">
        <f>SUM(H3,H4,H5)</f>
        <v/>
      </c>
    </row>
    <row r="18" customFormat="1" s="18"/>
    <row r="19" customFormat="1" s="18">
      <c r="B19" s="103" t="inlineStr">
        <is>
          <t>배당수익</t>
        </is>
      </c>
      <c r="C19" s="80" t="n"/>
    </row>
    <row r="20" customFormat="1" s="18">
      <c r="B20" s="15" t="inlineStr">
        <is>
          <t>합계</t>
        </is>
      </c>
      <c r="C20" s="105">
        <f>SUM(C22:C34)</f>
        <v/>
      </c>
    </row>
    <row r="21" customFormat="1" s="18">
      <c r="B21" s="14" t="n"/>
      <c r="C21" s="106" t="n"/>
    </row>
    <row r="22" customFormat="1" s="18">
      <c r="B22" s="16" t="n">
        <v>46143</v>
      </c>
      <c r="C22" s="105">
        <f>CMA!J27+개인연금!G26+퇴직연금!F26</f>
        <v/>
      </c>
    </row>
    <row r="23" customFormat="1" s="18">
      <c r="B23" s="16" t="n">
        <v>46174</v>
      </c>
      <c r="C23" s="105">
        <f>CMA!J28+개인연금!G27+퇴직연금!G26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0"/>
  <sheetViews>
    <sheetView tabSelected="1" workbookViewId="0">
      <selection activeCell="H33" sqref="H33"/>
    </sheetView>
  </sheetViews>
  <sheetFormatPr baseColWidth="8" defaultRowHeight="17"/>
  <cols>
    <col width="3.33203125" customWidth="1" style="17" min="1" max="1"/>
    <col width="11" bestFit="1" customWidth="1" style="17" min="2" max="2"/>
    <col width="13" bestFit="1" customWidth="1" style="17" min="3" max="3"/>
    <col width="28.9140625" customWidth="1" style="17" min="4" max="4"/>
    <col width="27" customWidth="1" style="17" min="5" max="5"/>
    <col width="25.25" customWidth="1" style="17" min="6" max="7"/>
    <col width="26.83203125" bestFit="1" customWidth="1" style="17" min="8" max="8"/>
    <col width="13.83203125" bestFit="1" customWidth="1" style="17" min="9" max="9"/>
    <col width="10.58203125" bestFit="1" customWidth="1" style="17" min="10" max="10"/>
  </cols>
  <sheetData>
    <row r="1" ht="17.5" customHeight="1" s="17" thickBot="1"/>
    <row r="2">
      <c r="B2" s="88" t="inlineStr">
        <is>
          <t>ITEMs</t>
        </is>
      </c>
      <c r="C2" s="28" t="inlineStr">
        <is>
          <t>#</t>
        </is>
      </c>
      <c r="D2" s="29" t="n">
        <v>1</v>
      </c>
      <c r="E2" s="29" t="n">
        <v>3</v>
      </c>
      <c r="F2" s="29" t="n">
        <v>3</v>
      </c>
      <c r="G2" s="29" t="n">
        <v>4</v>
      </c>
      <c r="H2" s="29" t="n">
        <v>5</v>
      </c>
      <c r="I2" s="85" t="inlineStr">
        <is>
          <t>합계</t>
        </is>
      </c>
    </row>
    <row r="3">
      <c r="B3" s="84" t="n"/>
      <c r="C3" s="4" t="inlineStr">
        <is>
          <t>코드</t>
        </is>
      </c>
      <c r="D3" s="7" t="inlineStr">
        <is>
          <t>498400</t>
        </is>
      </c>
      <c r="E3" s="8" t="inlineStr">
        <is>
          <t>091160</t>
        </is>
      </c>
      <c r="F3" s="7" t="inlineStr">
        <is>
          <t>487240</t>
        </is>
      </c>
      <c r="G3" s="7" t="n"/>
      <c r="H3" s="7" t="n"/>
      <c r="I3" s="87" t="n"/>
    </row>
    <row r="4" ht="17.5" customHeight="1" s="17" thickBot="1">
      <c r="B4" s="82" t="n"/>
      <c r="C4" s="35" t="inlineStr">
        <is>
          <t>종목</t>
        </is>
      </c>
      <c r="D4" s="36" t="inlineStr">
        <is>
          <t>KODEX 200타겟위클리커버드콜</t>
        </is>
      </c>
      <c r="E4" s="36" t="inlineStr">
        <is>
          <t>KODEX 반도체</t>
        </is>
      </c>
      <c r="F4" s="36" t="inlineStr">
        <is>
          <t>KODEX AI전력핵심설비</t>
        </is>
      </c>
      <c r="G4" s="36" t="n"/>
      <c r="H4" s="36" t="n"/>
      <c r="I4" s="86" t="n"/>
    </row>
    <row r="5">
      <c r="B5" s="88" t="inlineStr">
        <is>
          <t>Plan</t>
        </is>
      </c>
      <c r="C5" s="19" t="inlineStr">
        <is>
          <t>투자비중</t>
        </is>
      </c>
      <c r="D5" s="107" t="n">
        <v>0.4</v>
      </c>
      <c r="E5" s="107" t="n">
        <v>0.3</v>
      </c>
      <c r="F5" s="107" t="n">
        <v>0.2</v>
      </c>
      <c r="G5" s="107" t="n"/>
      <c r="H5" s="107" t="n"/>
      <c r="I5" s="25">
        <f>SUM(D5:H5)</f>
        <v/>
      </c>
    </row>
    <row r="6" ht="17.5" customHeight="1" s="17">
      <c r="B6" s="84" t="n"/>
      <c r="C6" s="94" t="inlineStr">
        <is>
          <t>매수목표</t>
        </is>
      </c>
      <c r="D6" s="108" t="n">
        <v>0.4</v>
      </c>
      <c r="E6" s="108" t="n">
        <v>0.4</v>
      </c>
      <c r="F6" s="108" t="n">
        <v>0.06</v>
      </c>
      <c r="G6" s="108" t="n"/>
      <c r="H6" s="108" t="n"/>
      <c r="I6" s="26" t="n"/>
    </row>
    <row r="7" ht="17.5" customHeight="1" s="17" thickBot="1">
      <c r="B7" s="82" t="n"/>
      <c r="C7" s="27" t="inlineStr">
        <is>
          <t>투자목표</t>
        </is>
      </c>
      <c r="D7" s="109">
        <f>Assets!$C3*(D5)*D6</f>
        <v/>
      </c>
      <c r="E7" s="109">
        <f>Assets!$C3*(E5)*E6</f>
        <v/>
      </c>
      <c r="F7" s="109">
        <f>Assets!$C3*(F5)*F6</f>
        <v/>
      </c>
      <c r="G7" s="109">
        <f>Assets!$C3*(G5)*G6</f>
        <v/>
      </c>
      <c r="H7" s="109">
        <f>Assets!$C3*(H5)*H6</f>
        <v/>
      </c>
      <c r="I7" s="110">
        <f>SUM(D7:G7)</f>
        <v/>
      </c>
    </row>
    <row r="8" ht="17.5" customFormat="1" customHeight="1" s="18">
      <c r="B8" s="88" t="inlineStr">
        <is>
          <t>Investment</t>
        </is>
      </c>
      <c r="C8" s="111" t="inlineStr">
        <is>
          <t>보유량</t>
        </is>
      </c>
      <c r="D8" s="112" t="n">
        <v>9606</v>
      </c>
      <c r="E8" s="112" t="n">
        <v>456</v>
      </c>
      <c r="F8" s="112" t="n"/>
      <c r="G8" s="112" t="n"/>
      <c r="H8" s="112" t="n"/>
      <c r="I8" s="22" t="n"/>
    </row>
    <row r="9" ht="17.5" customFormat="1" customHeight="1" s="18">
      <c r="B9" s="84" t="n"/>
      <c r="C9" s="113" t="inlineStr">
        <is>
          <t>평균단가</t>
        </is>
      </c>
      <c r="D9" s="114" t="n">
        <v>20486</v>
      </c>
      <c r="E9" s="114" t="n">
        <v>121496</v>
      </c>
      <c r="F9" s="114" t="n"/>
      <c r="G9" s="114" t="n"/>
      <c r="H9" s="114" t="n"/>
      <c r="I9" s="23" t="n"/>
    </row>
    <row r="10" ht="17.5" customHeight="1" s="17" thickBot="1">
      <c r="B10" s="82" t="n"/>
      <c r="C10" s="24" t="inlineStr">
        <is>
          <t>투자금</t>
        </is>
      </c>
      <c r="D10" s="109">
        <f>D9*D8</f>
        <v/>
      </c>
      <c r="E10" s="109">
        <f>E9*E8</f>
        <v/>
      </c>
      <c r="F10" s="109">
        <f>F9*F8</f>
        <v/>
      </c>
      <c r="G10" s="109">
        <f>G9*G8</f>
        <v/>
      </c>
      <c r="H10" s="109">
        <f>H9*H8</f>
        <v/>
      </c>
      <c r="I10" s="115">
        <f>SUM(D10:G10)</f>
        <v/>
      </c>
    </row>
    <row r="11" ht="17.5" customHeight="1" s="17" thickBot="1">
      <c r="B11" s="116" t="inlineStr">
        <is>
          <t>매매</t>
        </is>
      </c>
      <c r="C11" s="19" t="inlineStr">
        <is>
          <t>현재가</t>
        </is>
      </c>
      <c r="D11" s="117" t="n">
        <v>24550</v>
      </c>
      <c r="E11" s="117" t="n">
        <v>158000</v>
      </c>
      <c r="F11" s="117" t="n">
        <v>42945</v>
      </c>
      <c r="G11" s="118" t="n"/>
      <c r="H11" s="118" t="n"/>
      <c r="I11" s="85" t="n"/>
    </row>
    <row r="12">
      <c r="B12" s="90" t="n"/>
      <c r="C12" s="4" t="inlineStr">
        <is>
          <t>수익률</t>
        </is>
      </c>
      <c r="D12" s="5">
        <f>IF(D9&gt;0, (D11-D9)/D9, 0)</f>
        <v/>
      </c>
      <c r="E12" s="5">
        <f>IF(E9&gt;0, (E11-E9)/E9, 0)</f>
        <v/>
      </c>
      <c r="F12" s="5">
        <f>IF(F9&gt;0, (F11-F9)/F9, 0)</f>
        <v/>
      </c>
      <c r="G12" s="5">
        <f>IF(G9&gt;0, (G11-G9)/G9, 0)</f>
        <v/>
      </c>
      <c r="H12" s="5">
        <f>IF(H9&gt;0, (H11-H9)/H9, 0)</f>
        <v/>
      </c>
      <c r="I12" s="20">
        <f>I13/I10</f>
        <v/>
      </c>
    </row>
    <row r="13">
      <c r="B13" s="90" t="n"/>
      <c r="C13" s="94" t="inlineStr">
        <is>
          <t>수익</t>
        </is>
      </c>
      <c r="D13" s="119">
        <f>D10*D12</f>
        <v/>
      </c>
      <c r="E13" s="119">
        <f>E10*E12</f>
        <v/>
      </c>
      <c r="F13" s="119">
        <f>F10*F12</f>
        <v/>
      </c>
      <c r="G13" s="119">
        <f>G10*G12</f>
        <v/>
      </c>
      <c r="H13" s="119">
        <f>H10*H12</f>
        <v/>
      </c>
      <c r="I13" s="120">
        <f>SUM(D13:G13)</f>
        <v/>
      </c>
    </row>
    <row r="14">
      <c r="B14" s="90" t="n"/>
      <c r="C14" s="94" t="inlineStr">
        <is>
          <t>매매</t>
        </is>
      </c>
      <c r="D14" s="119">
        <f>D7-D10</f>
        <v/>
      </c>
      <c r="E14" s="119">
        <f>E7-E10</f>
        <v/>
      </c>
      <c r="F14" s="119">
        <f>F7-F10</f>
        <v/>
      </c>
      <c r="G14" s="119">
        <f>G7-G10</f>
        <v/>
      </c>
      <c r="H14" s="119">
        <f>H7-H10</f>
        <v/>
      </c>
      <c r="I14" s="121">
        <f>SUM(D14:G14)</f>
        <v/>
      </c>
    </row>
    <row r="15" ht="17.5" customHeight="1" s="17">
      <c r="B15" s="90" t="n"/>
      <c r="C15" s="94" t="inlineStr">
        <is>
          <t>추가매수</t>
        </is>
      </c>
      <c r="D15" s="119">
        <f>IFERROR((D7-D10)/D11, 0)</f>
        <v/>
      </c>
      <c r="E15" s="119">
        <f>IFERROR((E7-E10)/E11, 0)</f>
        <v/>
      </c>
      <c r="F15" s="119">
        <f>IFERROR((F7-F10)/F11, 0)</f>
        <v/>
      </c>
      <c r="G15" s="119">
        <f>IFERROR((G7-G10)/G11, 0)</f>
        <v/>
      </c>
      <c r="H15" s="119">
        <f>IFERROR((H7-H10)/H11, 0)</f>
        <v/>
      </c>
      <c r="I15" s="120">
        <f>IFERROR((I7-I10)/I11, 0)</f>
        <v/>
      </c>
    </row>
    <row r="16" ht="17.5" customFormat="1" customHeight="1" s="18">
      <c r="B16" s="90" t="n"/>
      <c r="C16" s="10" t="n">
        <v>0.4</v>
      </c>
      <c r="D16" s="99">
        <f>D$15*Assets!$J3</f>
        <v/>
      </c>
      <c r="E16" s="99">
        <f>E$15*Assets!$J3</f>
        <v/>
      </c>
      <c r="F16" s="99">
        <f>F$15*Assets!$J3</f>
        <v/>
      </c>
      <c r="G16" s="99">
        <f>G$15*Assets!$J3</f>
        <v/>
      </c>
      <c r="H16" s="99">
        <f>H$15*Assets!$J3</f>
        <v/>
      </c>
      <c r="I16" s="120" t="n"/>
    </row>
    <row r="17" ht="17.5" customFormat="1" customHeight="1" s="18">
      <c r="B17" s="90" t="n"/>
      <c r="C17" s="10" t="n">
        <v>0.3</v>
      </c>
      <c r="D17" s="99">
        <f>D$15*Assets!$J4</f>
        <v/>
      </c>
      <c r="E17" s="99">
        <f>E$15*Assets!$J4</f>
        <v/>
      </c>
      <c r="F17" s="99">
        <f>F$15*Assets!$J4</f>
        <v/>
      </c>
      <c r="G17" s="99">
        <f>G$15*Assets!$J4</f>
        <v/>
      </c>
      <c r="H17" s="99">
        <f>H$15*Assets!$J4</f>
        <v/>
      </c>
      <c r="I17" s="120" t="n"/>
    </row>
    <row r="18" ht="17.5" customFormat="1" customHeight="1" s="18">
      <c r="B18" s="90" t="n"/>
      <c r="C18" s="10" t="n">
        <v>0.2</v>
      </c>
      <c r="D18" s="99">
        <f>D$15*Assets!$J5</f>
        <v/>
      </c>
      <c r="E18" s="99">
        <f>E$15*Assets!$J5</f>
        <v/>
      </c>
      <c r="F18" s="99">
        <f>F$15*Assets!$J5</f>
        <v/>
      </c>
      <c r="G18" s="99">
        <f>G$15*Assets!$J5</f>
        <v/>
      </c>
      <c r="H18" s="99">
        <f>H$15*Assets!$J5</f>
        <v/>
      </c>
      <c r="I18" s="120" t="n"/>
    </row>
    <row r="19" ht="17.5" customFormat="1" customHeight="1" s="18" thickBot="1">
      <c r="B19" s="91" t="n"/>
      <c r="C19" s="21" t="n">
        <v>0.1</v>
      </c>
      <c r="D19" s="122">
        <f>D$15*Assets!$J6</f>
        <v/>
      </c>
      <c r="E19" s="122">
        <f>E$15*Assets!$J6</f>
        <v/>
      </c>
      <c r="F19" s="122">
        <f>F$15*Assets!$J6</f>
        <v/>
      </c>
      <c r="G19" s="122">
        <f>G$15*Assets!$J6</f>
        <v/>
      </c>
      <c r="H19" s="122">
        <f>H$15*Assets!$J6</f>
        <v/>
      </c>
      <c r="I19" s="123" t="n"/>
    </row>
    <row r="20" ht="17.5" customFormat="1" customHeight="1" s="18">
      <c r="C20" s="6" t="n"/>
      <c r="D20" s="124">
        <f>D16*D11</f>
        <v/>
      </c>
      <c r="E20" s="124">
        <f>E16*E11</f>
        <v/>
      </c>
      <c r="F20" s="124">
        <f>F16*F11</f>
        <v/>
      </c>
      <c r="G20" s="124">
        <f>G16*G11</f>
        <v/>
      </c>
      <c r="H20" s="124">
        <f>H16*H11</f>
        <v/>
      </c>
      <c r="I20" s="125" t="n"/>
    </row>
    <row r="21" ht="17.5" customFormat="1" customHeight="1" s="18" thickBot="1">
      <c r="C21" s="6" t="n"/>
      <c r="D21" s="124" t="n"/>
      <c r="E21" s="124" t="n"/>
      <c r="F21" s="124" t="n"/>
      <c r="G21" s="124" t="n"/>
      <c r="H21" s="124" t="n"/>
      <c r="I21" s="125" t="n"/>
    </row>
    <row r="22">
      <c r="B22" s="126" t="inlineStr">
        <is>
          <t>목표</t>
        </is>
      </c>
      <c r="C22" s="28" t="inlineStr">
        <is>
          <t>목표수량</t>
        </is>
      </c>
      <c r="D22" s="127">
        <f>D8+D15</f>
        <v/>
      </c>
      <c r="E22" s="127">
        <f>E8+E15</f>
        <v/>
      </c>
      <c r="F22" s="127">
        <f>F8+F15</f>
        <v/>
      </c>
      <c r="G22" s="127">
        <f>G8+G15</f>
        <v/>
      </c>
      <c r="H22" s="127">
        <f>H8+H15</f>
        <v/>
      </c>
      <c r="I22" s="85" t="inlineStr">
        <is>
          <t>투자금 목표</t>
        </is>
      </c>
    </row>
    <row r="23">
      <c r="B23" s="84" t="n"/>
      <c r="C23" s="4" t="inlineStr">
        <is>
          <t>목표평단가</t>
        </is>
      </c>
      <c r="D23" s="128">
        <f>IF(D10&gt;0,(((D8*D9)+(D15*D11))/(D8+D15)),0)</f>
        <v/>
      </c>
      <c r="E23" s="128">
        <f>IF(E10&gt;0,(((E8*E9)+(E15*E11))/(E8+E15)),0)</f>
        <v/>
      </c>
      <c r="F23" s="128">
        <f>IF(F10&gt;0,(((F8*F9)+(F15*F11))/(F8+F15)),0)</f>
        <v/>
      </c>
      <c r="G23" s="128">
        <f>IF(G10&gt;0,(((G8*G9)+(G15*G11))/(G8+G15)),0)</f>
        <v/>
      </c>
      <c r="H23" s="128">
        <f>IF(H10&gt;0,(((H8*H9)+(H15*H11))/(H8+H15)),0)</f>
        <v/>
      </c>
      <c r="I23" s="86" t="n"/>
    </row>
    <row r="24" ht="17.5" customHeight="1" s="17" thickBot="1">
      <c r="B24" s="82" t="n"/>
      <c r="C24" s="24" t="inlineStr">
        <is>
          <t>투자금</t>
        </is>
      </c>
      <c r="D24" s="122">
        <f>D22*D23</f>
        <v/>
      </c>
      <c r="E24" s="122">
        <f>E22*E23</f>
        <v/>
      </c>
      <c r="F24" s="122">
        <f>F22*F23</f>
        <v/>
      </c>
      <c r="G24" s="122">
        <f>G22*G23</f>
        <v/>
      </c>
      <c r="H24" s="122">
        <f>H22*H23</f>
        <v/>
      </c>
      <c r="I24" s="129">
        <f>SUM(D24:G24)</f>
        <v/>
      </c>
    </row>
    <row r="25" ht="17.5" customHeight="1" s="17" thickBot="1">
      <c r="H25" s="130" t="n"/>
    </row>
    <row r="26">
      <c r="B26" s="131" t="inlineStr">
        <is>
          <t>배당,분배
(세후)</t>
        </is>
      </c>
      <c r="C26" s="31" t="n">
        <v>46148</v>
      </c>
      <c r="D26" s="132" t="n"/>
      <c r="E26" s="132" t="n">
        <v>100905</v>
      </c>
      <c r="F26" s="32" t="n"/>
      <c r="G26" s="31" t="n"/>
      <c r="H26" s="132" t="n"/>
      <c r="I26" s="133">
        <f>SUM(D26:H26)</f>
        <v/>
      </c>
    </row>
    <row r="27" ht="17.5" customHeight="1" s="17" thickBot="1">
      <c r="B27" s="82" t="n"/>
      <c r="C27" s="33" t="n">
        <v>46161</v>
      </c>
      <c r="D27" s="122" t="n">
        <v>2549100</v>
      </c>
      <c r="E27" s="122" t="n"/>
      <c r="F27" s="122" t="n"/>
      <c r="G27" s="122" t="n"/>
      <c r="H27" s="122" t="n"/>
      <c r="I27" s="134">
        <f>SUM(D27:H27)</f>
        <v/>
      </c>
      <c r="J27" s="135">
        <f>SUM(I26:I27)</f>
        <v/>
      </c>
    </row>
    <row r="28">
      <c r="D28" s="124" t="n"/>
      <c r="E28" s="124" t="n"/>
      <c r="F28" s="124" t="n"/>
      <c r="G28" s="124" t="n"/>
      <c r="H28" s="124" t="n"/>
    </row>
    <row r="29"/>
    <row r="30">
      <c r="E30" s="1" t="n"/>
    </row>
  </sheetData>
  <mergeCells count="8">
    <mergeCell ref="I22:I23"/>
    <mergeCell ref="I2:I4"/>
    <mergeCell ref="B5:B7"/>
    <mergeCell ref="B8:B10"/>
    <mergeCell ref="B11:B19"/>
    <mergeCell ref="B2:B4"/>
    <mergeCell ref="B26:B27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9"/>
  <sheetViews>
    <sheetView workbookViewId="0">
      <selection activeCell="D37" sqref="D37"/>
    </sheetView>
  </sheetViews>
  <sheetFormatPr baseColWidth="8" defaultRowHeight="17"/>
  <cols>
    <col width="3.33203125" customWidth="1" style="17" min="1" max="1"/>
    <col width="11" bestFit="1" customWidth="1" style="17" min="2" max="2"/>
    <col width="13" bestFit="1" customWidth="1" style="17" min="3" max="3"/>
    <col width="39" customWidth="1" style="17" min="4" max="4"/>
    <col width="36.6640625" customWidth="1" style="17" min="5" max="5"/>
    <col width="13.83203125" bestFit="1" customWidth="1" style="17" min="6" max="6"/>
    <col width="10.58203125" bestFit="1" customWidth="1" style="17" min="7" max="7"/>
    <col width="14.25" bestFit="1" customWidth="1" style="17" min="8" max="8"/>
    <col width="13.1640625" bestFit="1" customWidth="1" style="17" min="9" max="9"/>
  </cols>
  <sheetData>
    <row r="1" ht="17.5" customHeight="1" s="17" thickBot="1"/>
    <row r="2">
      <c r="B2" s="88" t="inlineStr">
        <is>
          <t>ITEMs</t>
        </is>
      </c>
      <c r="C2" s="28" t="inlineStr">
        <is>
          <t>#</t>
        </is>
      </c>
      <c r="D2" s="29" t="n">
        <v>1</v>
      </c>
      <c r="E2" s="29" t="n">
        <v>2</v>
      </c>
      <c r="F2" s="85" t="inlineStr">
        <is>
          <t>합계</t>
        </is>
      </c>
    </row>
    <row r="3">
      <c r="B3" s="84" t="n"/>
      <c r="C3" s="4" t="inlineStr">
        <is>
          <t>코드</t>
        </is>
      </c>
      <c r="D3" s="7" t="inlineStr">
        <is>
          <t>494300</t>
        </is>
      </c>
      <c r="E3" s="7" t="n"/>
      <c r="F3" s="87" t="n"/>
    </row>
    <row r="4" ht="17.5" customHeight="1" s="17" thickBot="1">
      <c r="B4" s="82" t="n"/>
      <c r="C4" s="24" t="inlineStr">
        <is>
          <t>종목</t>
        </is>
      </c>
      <c r="D4" s="30" t="inlineStr">
        <is>
          <t>KODEX 미국나스닥100데일리커버드콜OTM</t>
        </is>
      </c>
      <c r="E4" s="30" t="n"/>
      <c r="F4" s="86" t="n"/>
    </row>
    <row r="5">
      <c r="B5" s="88" t="inlineStr">
        <is>
          <t>Plane</t>
        </is>
      </c>
      <c r="C5" s="19" t="inlineStr">
        <is>
          <t>투자비중</t>
        </is>
      </c>
      <c r="D5" s="107" t="n">
        <v>0.7</v>
      </c>
      <c r="E5" s="107" t="n"/>
      <c r="F5" s="25">
        <f>SUM(A5:E5)</f>
        <v/>
      </c>
    </row>
    <row r="6" ht="17.5" customHeight="1" s="17">
      <c r="B6" s="84" t="n"/>
      <c r="C6" s="94" t="inlineStr">
        <is>
          <t>매수목표</t>
        </is>
      </c>
      <c r="D6" s="108" t="n">
        <v>1</v>
      </c>
      <c r="E6" s="108" t="n"/>
      <c r="F6" s="26" t="n"/>
    </row>
    <row r="7" ht="17.5" customHeight="1" s="17" thickBot="1">
      <c r="B7" s="82" t="n"/>
      <c r="C7" s="27" t="inlineStr">
        <is>
          <t>투자한도</t>
        </is>
      </c>
      <c r="D7" s="109">
        <f>Assets!$C4*(D5)*D6</f>
        <v/>
      </c>
      <c r="E7" s="109">
        <f>Assets!$C4*(E5)*E6</f>
        <v/>
      </c>
      <c r="F7" s="115">
        <f>SUM(D7:E7)</f>
        <v/>
      </c>
    </row>
    <row r="8" ht="17.5" customHeight="1" s="17">
      <c r="B8" s="88" t="inlineStr">
        <is>
          <t>Investment</t>
        </is>
      </c>
      <c r="C8" s="111" t="inlineStr">
        <is>
          <t>보유량</t>
        </is>
      </c>
      <c r="D8" s="112" t="n">
        <v>9756</v>
      </c>
      <c r="E8" s="112" t="n"/>
      <c r="F8" s="22" t="n"/>
    </row>
    <row r="9" ht="17.5" customHeight="1" s="17">
      <c r="B9" s="84" t="n"/>
      <c r="C9" s="113" t="inlineStr">
        <is>
          <t>평균단가</t>
        </is>
      </c>
      <c r="D9" s="114" t="n">
        <v>9993</v>
      </c>
      <c r="E9" s="114" t="n"/>
      <c r="F9" s="23" t="n"/>
    </row>
    <row r="10" ht="17.5" customHeight="1" s="17" thickBot="1">
      <c r="B10" s="82" t="n"/>
      <c r="C10" s="24" t="inlineStr">
        <is>
          <t>투자금</t>
        </is>
      </c>
      <c r="D10" s="109">
        <f>D9*D8</f>
        <v/>
      </c>
      <c r="E10" s="109">
        <f>E9*E8</f>
        <v/>
      </c>
      <c r="F10" s="115">
        <f>SUM(D10:E10)</f>
        <v/>
      </c>
    </row>
    <row r="11">
      <c r="B11" s="136" t="inlineStr">
        <is>
          <t>매매</t>
        </is>
      </c>
      <c r="C11" s="19" t="inlineStr">
        <is>
          <t>현재가</t>
        </is>
      </c>
      <c r="D11" s="117" t="n">
        <v>10760</v>
      </c>
      <c r="E11" s="137" t="n"/>
      <c r="F11" s="85" t="n"/>
    </row>
    <row r="12">
      <c r="B12" s="84" t="n"/>
      <c r="C12" s="4" t="inlineStr">
        <is>
          <t>수익률</t>
        </is>
      </c>
      <c r="D12" s="5">
        <f>IF(D9&gt;0, (D11-D9)/D9, 0)</f>
        <v/>
      </c>
      <c r="E12" s="5">
        <f>IF(E9&gt;0, (E11-E9)/E9, 0)</f>
        <v/>
      </c>
      <c r="F12" s="20">
        <f>IFERROR(F13/F10, 0)</f>
        <v/>
      </c>
    </row>
    <row r="13">
      <c r="B13" s="84" t="n"/>
      <c r="C13" s="94" t="inlineStr">
        <is>
          <t>수익</t>
        </is>
      </c>
      <c r="D13" s="119">
        <f>D10*D12</f>
        <v/>
      </c>
      <c r="E13" s="119">
        <f>E10*E12</f>
        <v/>
      </c>
      <c r="F13" s="120">
        <f>SUM(D13:E13)</f>
        <v/>
      </c>
    </row>
    <row r="14">
      <c r="B14" s="84" t="n"/>
      <c r="C14" s="94" t="inlineStr">
        <is>
          <t>추가매수(금액)</t>
        </is>
      </c>
      <c r="D14" s="119">
        <f>D7-D10</f>
        <v/>
      </c>
      <c r="E14" s="99">
        <f>E7-E10</f>
        <v/>
      </c>
      <c r="F14" s="121">
        <f>SUM(A14:D14)</f>
        <v/>
      </c>
    </row>
    <row r="15" ht="17.5" customHeight="1" s="17">
      <c r="B15" s="84" t="n"/>
      <c r="C15" s="94" t="inlineStr">
        <is>
          <t>추가매수(주)</t>
        </is>
      </c>
      <c r="D15" s="119">
        <f>IFERROR((D7-D10)/D11, 0)</f>
        <v/>
      </c>
      <c r="E15" s="119">
        <f>IFERROR((E7-E10)/E11, 0)</f>
        <v/>
      </c>
      <c r="F15" s="120">
        <f>IFERROR((F7-F10)/F11, 0)</f>
        <v/>
      </c>
    </row>
    <row r="16" ht="17.5" customFormat="1" customHeight="1" s="18">
      <c r="B16" s="84" t="n"/>
      <c r="C16" s="10" t="n">
        <v>0.4</v>
      </c>
      <c r="D16" s="99">
        <f>D$15*Assets!$J3</f>
        <v/>
      </c>
      <c r="E16" s="99">
        <f>E$15*Assets!$J3</f>
        <v/>
      </c>
      <c r="F16" s="120" t="n"/>
    </row>
    <row r="17" ht="17.5" customFormat="1" customHeight="1" s="18">
      <c r="B17" s="84" t="n"/>
      <c r="C17" s="10" t="n">
        <v>0.3</v>
      </c>
      <c r="D17" s="99">
        <f>D$15*Assets!$J4</f>
        <v/>
      </c>
      <c r="E17" s="99">
        <f>E$15*Assets!$J4</f>
        <v/>
      </c>
      <c r="F17" s="120" t="n"/>
    </row>
    <row r="18" ht="17.5" customFormat="1" customHeight="1" s="18">
      <c r="B18" s="84" t="n"/>
      <c r="C18" s="10" t="n">
        <v>0.2</v>
      </c>
      <c r="D18" s="99">
        <f>D$15*Assets!$J5</f>
        <v/>
      </c>
      <c r="E18" s="99">
        <f>E$15*Assets!$J5</f>
        <v/>
      </c>
      <c r="F18" s="120" t="n"/>
    </row>
    <row r="19" ht="17.5" customFormat="1" customHeight="1" s="18" thickBot="1">
      <c r="B19" s="97" t="n"/>
      <c r="C19" s="21" t="n">
        <v>0.1</v>
      </c>
      <c r="D19" s="122">
        <f>D$15*Assets!$J6</f>
        <v/>
      </c>
      <c r="E19" s="122">
        <f>E$15*Assets!$J6</f>
        <v/>
      </c>
      <c r="F19" s="123" t="n"/>
    </row>
    <row r="20" ht="17.5" customFormat="1" customHeight="1" s="18">
      <c r="C20" s="6" t="n"/>
      <c r="D20" s="124">
        <f>D11*D16</f>
        <v/>
      </c>
      <c r="E20" s="125" t="n"/>
      <c r="F20" s="125" t="n"/>
    </row>
    <row r="21" ht="17.5" customFormat="1" customHeight="1" s="18">
      <c r="C21" s="6" t="n"/>
      <c r="D21" s="124" t="n"/>
      <c r="E21" s="125" t="n"/>
      <c r="F21" s="125" t="n"/>
    </row>
    <row r="22">
      <c r="B22" s="103" t="inlineStr">
        <is>
          <t>목표</t>
        </is>
      </c>
      <c r="C22" s="4" t="inlineStr">
        <is>
          <t>목표수량</t>
        </is>
      </c>
      <c r="D22" s="138">
        <f>D8+D15</f>
        <v/>
      </c>
      <c r="E22" s="138">
        <f>E8+E15</f>
        <v/>
      </c>
      <c r="F22" s="94" t="inlineStr">
        <is>
          <t>투자금 목표</t>
        </is>
      </c>
    </row>
    <row r="23">
      <c r="B23" s="98" t="n"/>
      <c r="C23" s="4" t="inlineStr">
        <is>
          <t>목표평단가</t>
        </is>
      </c>
      <c r="D23" s="128">
        <f>IF(D10&gt;0,(((D8*D9)+(D15*D11))/(D8+D15)),0)</f>
        <v/>
      </c>
      <c r="E23" s="128">
        <f>IF(E10&gt;0,(((E8*E9)+(E15*E11))/(E8+E15)),0)</f>
        <v/>
      </c>
      <c r="F23" s="95" t="n"/>
    </row>
    <row r="24" ht="17.5" customHeight="1" s="17">
      <c r="B24" s="95" t="n"/>
      <c r="C24" s="94" t="inlineStr">
        <is>
          <t>목표투자금</t>
        </is>
      </c>
      <c r="D24" s="139">
        <f>D22*D23</f>
        <v/>
      </c>
      <c r="E24" s="139">
        <f>E22*E23</f>
        <v/>
      </c>
      <c r="F24" s="140">
        <f>SUM(D24:E24)</f>
        <v/>
      </c>
    </row>
    <row r="25"/>
    <row r="26" ht="17" customHeight="1" s="17">
      <c r="B26" s="141" t="inlineStr">
        <is>
          <t>배당,분배
(세후)</t>
        </is>
      </c>
      <c r="C26" s="11" t="n">
        <v>46148</v>
      </c>
      <c r="D26" s="99" t="n">
        <v>1434641</v>
      </c>
      <c r="E26" s="99" t="n">
        <v>40664</v>
      </c>
      <c r="F26" s="142">
        <f>SUM(D26:E26)</f>
        <v/>
      </c>
      <c r="G26" s="135">
        <f>SUM(F26)</f>
        <v/>
      </c>
      <c r="H26" s="13" t="n"/>
    </row>
    <row r="27">
      <c r="B27" s="93" t="n"/>
      <c r="C27" s="11" t="n">
        <v>46175</v>
      </c>
      <c r="D27" s="99" t="n">
        <v>1559376</v>
      </c>
      <c r="E27" s="99" t="n">
        <v>0</v>
      </c>
      <c r="F27" s="142">
        <f>SUM(D27:E27)</f>
        <v/>
      </c>
      <c r="G27" s="135">
        <f>SUM(F27)</f>
        <v/>
      </c>
      <c r="H27" s="143" t="n"/>
      <c r="I27" s="143" t="n"/>
    </row>
    <row r="28">
      <c r="D28" s="124" t="n"/>
      <c r="H28" s="143" t="n"/>
      <c r="I28" s="143" t="n"/>
    </row>
    <row r="29">
      <c r="D29" s="124" t="n"/>
    </row>
  </sheetData>
  <mergeCells count="8">
    <mergeCell ref="B5:B7"/>
    <mergeCell ref="F22:F23"/>
    <mergeCell ref="F2:F4"/>
    <mergeCell ref="B8:B10"/>
    <mergeCell ref="B11:B19"/>
    <mergeCell ref="B2:B4"/>
    <mergeCell ref="B26:B27"/>
    <mergeCell ref="B22:B24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7"/>
  <sheetViews>
    <sheetView workbookViewId="0">
      <selection activeCell="D33" sqref="D33"/>
    </sheetView>
  </sheetViews>
  <sheetFormatPr baseColWidth="8" defaultRowHeight="17"/>
  <cols>
    <col width="3.6640625" customWidth="1" style="17" min="1" max="1"/>
    <col width="11" bestFit="1" customWidth="1" style="17" min="2" max="2"/>
    <col width="13" bestFit="1" customWidth="1" style="17" min="3" max="3"/>
    <col width="31.9140625" bestFit="1" customWidth="1" style="17" min="4" max="4"/>
    <col width="26.9140625" customWidth="1" style="17" min="5" max="5"/>
    <col width="12.6640625" bestFit="1" customWidth="1" style="17" min="6" max="6"/>
    <col width="9.08203125" bestFit="1" customWidth="1" style="17" min="7" max="7"/>
  </cols>
  <sheetData>
    <row r="1" ht="17.5" customHeight="1" s="17" thickBot="1"/>
    <row r="2">
      <c r="B2" s="88" t="inlineStr">
        <is>
          <t>ITEMs</t>
        </is>
      </c>
      <c r="C2" s="28" t="inlineStr">
        <is>
          <t>#</t>
        </is>
      </c>
      <c r="D2" s="29" t="n">
        <v>1</v>
      </c>
      <c r="E2" s="29" t="n">
        <v>2</v>
      </c>
      <c r="F2" s="85" t="inlineStr">
        <is>
          <t>합계</t>
        </is>
      </c>
    </row>
    <row r="3">
      <c r="B3" s="84" t="n"/>
      <c r="C3" s="4" t="inlineStr">
        <is>
          <t>코드</t>
        </is>
      </c>
      <c r="D3" s="7" t="inlineStr">
        <is>
          <t>481060</t>
        </is>
      </c>
      <c r="E3" s="8" t="n"/>
      <c r="F3" s="87" t="n"/>
    </row>
    <row r="4" ht="17.5" customHeight="1" s="17" thickBot="1">
      <c r="B4" s="82" t="n"/>
      <c r="C4" s="24" t="inlineStr">
        <is>
          <t>종목</t>
        </is>
      </c>
      <c r="D4" s="30" t="inlineStr">
        <is>
          <t>KODEX 미국30년국채타겟커버드콜(합성H)</t>
        </is>
      </c>
      <c r="E4" s="30" t="n"/>
      <c r="F4" s="86" t="n"/>
    </row>
    <row r="5">
      <c r="B5" s="88" t="inlineStr">
        <is>
          <t>Plane</t>
        </is>
      </c>
      <c r="C5" s="19" t="inlineStr">
        <is>
          <t>투자비중</t>
        </is>
      </c>
      <c r="D5" s="107" t="n">
        <v>1</v>
      </c>
      <c r="E5" s="107" t="n"/>
      <c r="F5" s="25">
        <f>SUM(A5:E5)</f>
        <v/>
      </c>
    </row>
    <row r="6">
      <c r="B6" s="84" t="n"/>
      <c r="C6" s="94" t="inlineStr">
        <is>
          <t>매수목표</t>
        </is>
      </c>
      <c r="D6" s="108" t="n">
        <v>1</v>
      </c>
      <c r="E6" s="108" t="n"/>
      <c r="F6" s="26" t="n"/>
    </row>
    <row r="7" ht="17.5" customHeight="1" s="17" thickBot="1">
      <c r="B7" s="82" t="n"/>
      <c r="C7" s="27" t="inlineStr">
        <is>
          <t>투자한도</t>
        </is>
      </c>
      <c r="D7" s="109">
        <f>Assets!$C5*(D5)*D6</f>
        <v/>
      </c>
      <c r="E7" s="109">
        <f>Assets!$C5*(E5)*E6</f>
        <v/>
      </c>
      <c r="F7" s="115">
        <f>SUM(A7:D7)</f>
        <v/>
      </c>
    </row>
    <row r="8">
      <c r="B8" s="88" t="inlineStr">
        <is>
          <t>Investment</t>
        </is>
      </c>
      <c r="C8" s="111" t="inlineStr">
        <is>
          <t>보유량</t>
        </is>
      </c>
      <c r="D8" s="112" t="n">
        <v>1771</v>
      </c>
      <c r="E8" s="112" t="n"/>
      <c r="F8" s="22" t="n"/>
    </row>
    <row r="9">
      <c r="B9" s="84" t="n"/>
      <c r="C9" s="113" t="inlineStr">
        <is>
          <t>평균단가</t>
        </is>
      </c>
      <c r="D9" s="114" t="n">
        <v>7688</v>
      </c>
      <c r="E9" s="114" t="n"/>
      <c r="F9" s="23" t="n"/>
    </row>
    <row r="10" ht="17.5" customHeight="1" s="17" thickBot="1">
      <c r="B10" s="82" t="n"/>
      <c r="C10" s="24" t="inlineStr">
        <is>
          <t>투자금</t>
        </is>
      </c>
      <c r="D10" s="109">
        <f>D9*D8</f>
        <v/>
      </c>
      <c r="E10" s="109">
        <f>E9*E8</f>
        <v/>
      </c>
      <c r="F10" s="115">
        <f>SUM(A10:D10)</f>
        <v/>
      </c>
    </row>
    <row r="11">
      <c r="B11" s="136" t="inlineStr">
        <is>
          <t>매매</t>
        </is>
      </c>
      <c r="C11" s="19" t="inlineStr">
        <is>
          <t>현재가</t>
        </is>
      </c>
      <c r="D11" s="117" t="n">
        <v>7785</v>
      </c>
      <c r="E11" s="144" t="n"/>
      <c r="F11" s="85" t="n"/>
    </row>
    <row r="12">
      <c r="B12" s="84" t="n"/>
      <c r="C12" s="4" t="inlineStr">
        <is>
          <t>수익률</t>
        </is>
      </c>
      <c r="D12" s="5">
        <f>IF(D9&gt;0, (D11-D9)/D9, 0)</f>
        <v/>
      </c>
      <c r="E12" s="5">
        <f>IF(E9&gt;0, (E11-E9)/E9, 0)</f>
        <v/>
      </c>
      <c r="F12" s="20">
        <f>IFERROR(F13/F10, 0)</f>
        <v/>
      </c>
    </row>
    <row r="13">
      <c r="B13" s="84" t="n"/>
      <c r="C13" s="94" t="inlineStr">
        <is>
          <t>수익</t>
        </is>
      </c>
      <c r="D13" s="119">
        <f>D10*D12</f>
        <v/>
      </c>
      <c r="E13" s="119">
        <f>E10*E12</f>
        <v/>
      </c>
      <c r="F13" s="120">
        <f>SUM(A13:D13)</f>
        <v/>
      </c>
    </row>
    <row r="14">
      <c r="B14" s="84" t="n"/>
      <c r="C14" s="94" t="inlineStr">
        <is>
          <t>매수한도</t>
        </is>
      </c>
      <c r="D14" s="99">
        <f>D7-D10</f>
        <v/>
      </c>
      <c r="E14" s="99">
        <f>E7-E10</f>
        <v/>
      </c>
      <c r="F14" s="121">
        <f>SUM(A14:D14)</f>
        <v/>
      </c>
    </row>
    <row r="15">
      <c r="B15" s="84" t="n"/>
      <c r="C15" s="94" t="inlineStr">
        <is>
          <t>추가매수</t>
        </is>
      </c>
      <c r="D15" s="119">
        <f>IFERROR((D7-D10)/D11, 0)</f>
        <v/>
      </c>
      <c r="E15" s="119">
        <f>IFERROR((E7-E10)/E11, 0)</f>
        <v/>
      </c>
      <c r="F15" s="120">
        <f>IFERROR((F7-F10)/F11, 0)</f>
        <v/>
      </c>
    </row>
    <row r="16" customFormat="1" s="18">
      <c r="B16" s="84" t="n"/>
      <c r="C16" s="10" t="n">
        <v>0.4</v>
      </c>
      <c r="D16" s="99">
        <f>D$15*Assets!$J3</f>
        <v/>
      </c>
      <c r="E16" s="99">
        <f>E$15*Assets!$J3</f>
        <v/>
      </c>
      <c r="F16" s="120" t="n"/>
    </row>
    <row r="17" customFormat="1" s="18">
      <c r="B17" s="84" t="n"/>
      <c r="C17" s="10" t="n">
        <v>0.3</v>
      </c>
      <c r="D17" s="99">
        <f>D$15*Assets!$J4</f>
        <v/>
      </c>
      <c r="E17" s="99">
        <f>E$15*Assets!$J4</f>
        <v/>
      </c>
      <c r="F17" s="120" t="n"/>
    </row>
    <row r="18" customFormat="1" s="18">
      <c r="B18" s="84" t="n"/>
      <c r="C18" s="10" t="n">
        <v>0.2</v>
      </c>
      <c r="D18" s="99">
        <f>D$15*Assets!$J5</f>
        <v/>
      </c>
      <c r="E18" s="99">
        <f>E$15*Assets!$J5</f>
        <v/>
      </c>
      <c r="F18" s="120" t="n"/>
    </row>
    <row r="19" ht="17.5" customFormat="1" customHeight="1" s="18" thickBot="1">
      <c r="B19" s="97" t="n"/>
      <c r="C19" s="21" t="n">
        <v>0.1</v>
      </c>
      <c r="D19" s="122">
        <f>D$15*Assets!$J6</f>
        <v/>
      </c>
      <c r="E19" s="122">
        <f>E$15*Assets!$J6</f>
        <v/>
      </c>
      <c r="F19" s="123" t="n"/>
    </row>
    <row r="20" customFormat="1" s="18">
      <c r="C20" s="6" t="n"/>
      <c r="D20" s="124">
        <f>D11*D16</f>
        <v/>
      </c>
      <c r="E20" s="125" t="n"/>
      <c r="F20" s="125" t="n"/>
    </row>
    <row r="21" customFormat="1" s="18">
      <c r="C21" s="6" t="n"/>
      <c r="D21" s="125" t="n"/>
      <c r="E21" s="125" t="n"/>
      <c r="F21" s="125" t="n"/>
    </row>
    <row r="22">
      <c r="B22" s="103" t="inlineStr">
        <is>
          <t>목표</t>
        </is>
      </c>
      <c r="C22" s="4" t="inlineStr">
        <is>
          <t>목표수량</t>
        </is>
      </c>
      <c r="D22" s="138">
        <f>D8+D15</f>
        <v/>
      </c>
      <c r="E22" s="138">
        <f>E8+E15</f>
        <v/>
      </c>
      <c r="F22" s="94" t="inlineStr">
        <is>
          <t>투자금 목표</t>
        </is>
      </c>
    </row>
    <row r="23">
      <c r="B23" s="98" t="n"/>
      <c r="C23" s="4" t="inlineStr">
        <is>
          <t>목표평단가</t>
        </is>
      </c>
      <c r="D23" s="128">
        <f>IF(D10&gt;0,(((D8*D9)+(D15*D11))/(D8+D15)),0)</f>
        <v/>
      </c>
      <c r="E23" s="128">
        <f>IF(E10&gt;0,(((E8*E9)+(E15*E11))/(E8+E15)),0)</f>
        <v/>
      </c>
      <c r="F23" s="95" t="n"/>
    </row>
    <row r="24">
      <c r="B24" s="95" t="n"/>
      <c r="C24" s="94" t="inlineStr">
        <is>
          <t>목표투자금</t>
        </is>
      </c>
      <c r="D24" s="139">
        <f>D22*D23</f>
        <v/>
      </c>
      <c r="E24" s="139">
        <f>E22*E23</f>
        <v/>
      </c>
      <c r="F24" s="140">
        <f>SUM(A24:D24)</f>
        <v/>
      </c>
    </row>
    <row r="25"/>
    <row r="26">
      <c r="B26" s="141" t="inlineStr">
        <is>
          <t>배당,분배
(세후)</t>
        </is>
      </c>
      <c r="C26" s="11" t="n">
        <v>46161</v>
      </c>
      <c r="D26" s="99" t="n">
        <v>136591</v>
      </c>
      <c r="E26" s="11" t="n"/>
      <c r="F26" s="142">
        <f>SUM(D26:E26)</f>
        <v/>
      </c>
      <c r="G26" s="135">
        <f>SUM(F26)</f>
        <v/>
      </c>
    </row>
    <row r="27">
      <c r="B27" s="93" t="n"/>
      <c r="C27" s="94" t="n"/>
      <c r="D27" s="99" t="n"/>
      <c r="E27" s="99" t="n"/>
      <c r="F27" s="145">
        <f>SUM(D27:E27)</f>
        <v/>
      </c>
    </row>
  </sheetData>
  <mergeCells count="8">
    <mergeCell ref="B5:B7"/>
    <mergeCell ref="F22:F23"/>
    <mergeCell ref="F2:F4"/>
    <mergeCell ref="B8:B10"/>
    <mergeCell ref="B11:B19"/>
    <mergeCell ref="B2:B4"/>
    <mergeCell ref="B26:B27"/>
    <mergeCell ref="B22:B24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2026-06-11T11:05:02Z</dcterms:modified>
  <cp:lastModifiedBy>TAEHO HWANG</cp:lastModifiedBy>
  <cp:version>1300.0100.01</cp:version>
  <cp:revision>2</cp:revision>
  <cp:lastPrinted>2026-01-22T00:39:54Z</cp:lastPrinted>
</cp:coreProperties>
</file>