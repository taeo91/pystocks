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310" yWindow="6310" windowWidth="21980" windowHeight="150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0.0%"/>
  </numFmts>
  <fonts count="13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rgb="FF1F4E79"/>
      <sz val="11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7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7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1">
      <alignment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right"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11" fillId="2" borderId="1" applyAlignment="1" pivotButton="0" quotePrefix="0" xfId="2">
      <alignment vertical="center"/>
    </xf>
    <xf numFmtId="164" fontId="10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2">
      <alignment horizontal="center" vertical="center"/>
    </xf>
    <xf numFmtId="164" fontId="8" fillId="4" borderId="4" applyAlignment="1" pivotButton="0" quotePrefix="0" xfId="2">
      <alignment horizontal="center" vertical="center"/>
    </xf>
    <xf numFmtId="164" fontId="8" fillId="4" borderId="0" applyAlignment="1" pivotButton="0" quotePrefix="0" xfId="2">
      <alignment horizontal="center" vertical="center"/>
    </xf>
    <xf numFmtId="9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2" borderId="1" applyAlignment="1" pivotButton="0" quotePrefix="0" xfId="2">
      <alignment horizontal="right"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8" fillId="4" borderId="4" applyAlignment="1" pivotButton="0" quotePrefix="0" xfId="2">
      <alignment horizontal="center" vertical="center"/>
    </xf>
    <xf numFmtId="164" fontId="12" fillId="2" borderId="1" applyAlignment="1" pivotButton="0" quotePrefix="0" xfId="2">
      <alignment vertical="center"/>
    </xf>
    <xf numFmtId="164" fontId="10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8" fillId="4" borderId="1" applyAlignment="1" pivotButton="0" quotePrefix="0" xfId="2">
      <alignment horizontal="center"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28"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4"/>
  <sheetViews>
    <sheetView workbookViewId="0">
      <selection activeCell="F19" sqref="F19"/>
    </sheetView>
  </sheetViews>
  <sheetFormatPr baseColWidth="8" defaultRowHeight="17"/>
  <cols>
    <col width="14.25" bestFit="1" customWidth="1" style="13" min="2" max="6"/>
    <col width="3" customWidth="1" style="13" min="7" max="7"/>
    <col width="14.25" bestFit="1" customWidth="1" style="13" min="8" max="8"/>
  </cols>
  <sheetData>
    <row r="1" customFormat="1" s="1"/>
    <row r="2">
      <c r="B2" s="5" t="inlineStr">
        <is>
          <t>2026.03.26</t>
        </is>
      </c>
    </row>
    <row r="3">
      <c r="B3" s="6" t="inlineStr">
        <is>
          <t>CMA</t>
        </is>
      </c>
      <c r="C3" s="6" t="inlineStr">
        <is>
          <t>현금보유비중</t>
        </is>
      </c>
      <c r="D3" s="7" t="inlineStr">
        <is>
          <t>투자가능금액</t>
        </is>
      </c>
      <c r="E3" s="7" t="inlineStr">
        <is>
          <t>순자산총액</t>
        </is>
      </c>
      <c r="F3" s="7" t="inlineStr">
        <is>
          <t>평가손익</t>
        </is>
      </c>
      <c r="H3" s="16" t="inlineStr">
        <is>
          <t>매매비율</t>
        </is>
      </c>
    </row>
    <row r="4">
      <c r="B4" s="51">
        <f>E4-F4</f>
        <v/>
      </c>
      <c r="C4" s="2" t="n">
        <v>0.3</v>
      </c>
      <c r="D4" s="51">
        <f>B4*(1-C4)</f>
        <v/>
      </c>
      <c r="E4" s="52" t="n">
        <v>1181121296</v>
      </c>
      <c r="F4" s="53">
        <f>CMA!I14</f>
        <v/>
      </c>
      <c r="H4" s="17" t="n">
        <v>0.4</v>
      </c>
    </row>
    <row r="5">
      <c r="H5" s="17" t="n">
        <v>0.3</v>
      </c>
    </row>
    <row r="6">
      <c r="B6" s="6" t="inlineStr">
        <is>
          <t>연금저축(신)</t>
        </is>
      </c>
      <c r="C6" s="6" t="inlineStr">
        <is>
          <t>현금보유비중</t>
        </is>
      </c>
      <c r="D6" s="7" t="inlineStr">
        <is>
          <t>투자금</t>
        </is>
      </c>
      <c r="E6" s="7" t="inlineStr">
        <is>
          <t>순자산총액</t>
        </is>
      </c>
      <c r="F6" s="7" t="inlineStr">
        <is>
          <t>평가손익</t>
        </is>
      </c>
      <c r="H6" s="17" t="n">
        <v>0.2</v>
      </c>
    </row>
    <row r="7">
      <c r="B7" s="51">
        <f>E7-F7</f>
        <v/>
      </c>
      <c r="C7" s="2" t="n">
        <v>0</v>
      </c>
      <c r="D7" s="51">
        <f>B7*(1-C7)</f>
        <v/>
      </c>
      <c r="E7" s="52" t="n">
        <v>118735412</v>
      </c>
      <c r="F7" s="53">
        <f>개인연금!F14</f>
        <v/>
      </c>
      <c r="H7" s="17" t="n">
        <v>0.1</v>
      </c>
    </row>
    <row r="9">
      <c r="A9" s="3" t="n"/>
      <c r="B9" s="6" t="inlineStr">
        <is>
          <t>IRP</t>
        </is>
      </c>
      <c r="C9" s="6" t="inlineStr">
        <is>
          <t>현금보유비중</t>
        </is>
      </c>
      <c r="D9" s="7" t="inlineStr">
        <is>
          <t>투자금</t>
        </is>
      </c>
      <c r="E9" s="7" t="inlineStr">
        <is>
          <t>순자산총액</t>
        </is>
      </c>
      <c r="F9" s="7" t="inlineStr">
        <is>
          <t>평가손익</t>
        </is>
      </c>
    </row>
    <row r="10">
      <c r="B10" s="51">
        <f>E10-F10</f>
        <v/>
      </c>
      <c r="C10" s="2" t="n">
        <v>0</v>
      </c>
      <c r="D10" s="51">
        <f>B10*(1-C10)</f>
        <v/>
      </c>
      <c r="E10" s="52" t="n">
        <v>13756880</v>
      </c>
      <c r="F10" s="53" t="n">
        <v>0</v>
      </c>
    </row>
    <row r="12">
      <c r="B12" s="54">
        <f>SUM(B10,B7,B4)</f>
        <v/>
      </c>
      <c r="F12" s="54">
        <f>SUM(F10,F7,F4)</f>
        <v/>
      </c>
    </row>
    <row r="14">
      <c r="E14" s="4" t="inlineStr">
        <is>
          <t>총자산</t>
        </is>
      </c>
      <c r="F14" s="55">
        <f>SUM(B12,F12)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2"/>
  <sheetViews>
    <sheetView tabSelected="1" workbookViewId="0">
      <selection activeCell="G28" sqref="G28"/>
    </sheetView>
  </sheetViews>
  <sheetFormatPr baseColWidth="8" defaultRowHeight="17"/>
  <cols>
    <col width="3.33203125" customWidth="1" style="13" min="1" max="1"/>
    <col width="11" bestFit="1" customWidth="1" style="13" min="2" max="2"/>
    <col width="13" bestFit="1" customWidth="1" style="13" min="3" max="3"/>
    <col width="28.9140625" customWidth="1" style="13" min="4" max="4"/>
    <col width="24.4140625" customWidth="1" style="13" min="5" max="5"/>
    <col width="21.5" customWidth="1" style="13" min="6" max="7"/>
    <col width="20.83203125" customWidth="1" style="13" min="8" max="8"/>
    <col width="13.83203125" bestFit="1" customWidth="1" style="13" min="9" max="9"/>
  </cols>
  <sheetData>
    <row r="1" ht="17.5" customHeight="1" s="13"/>
    <row r="2">
      <c r="B2" s="46" t="inlineStr">
        <is>
          <t>ITEMs</t>
        </is>
      </c>
      <c r="C2" s="8" t="inlineStr">
        <is>
          <t>#</t>
        </is>
      </c>
      <c r="D2" s="7" t="n">
        <v>1</v>
      </c>
      <c r="E2" s="7" t="n">
        <v>2</v>
      </c>
      <c r="F2" s="7" t="n">
        <v>3</v>
      </c>
      <c r="G2" s="7" t="n">
        <v>4</v>
      </c>
      <c r="H2" s="7" t="n">
        <v>5</v>
      </c>
      <c r="I2" s="43" t="inlineStr">
        <is>
          <t>합계</t>
        </is>
      </c>
    </row>
    <row r="3">
      <c r="B3" s="44" t="n"/>
      <c r="C3" s="8" t="inlineStr">
        <is>
          <t>코드</t>
        </is>
      </c>
      <c r="D3" s="14" t="inlineStr">
        <is>
          <t>498400</t>
        </is>
      </c>
      <c r="E3" s="15" t="inlineStr">
        <is>
          <t>091160</t>
        </is>
      </c>
      <c r="F3" s="14" t="inlineStr">
        <is>
          <t>009540</t>
        </is>
      </c>
      <c r="G3" s="14" t="inlineStr">
        <is>
          <t>034220</t>
        </is>
      </c>
      <c r="H3" s="14" t="n"/>
      <c r="I3" s="44" t="n"/>
    </row>
    <row r="4" ht="17.5" customHeight="1" s="13">
      <c r="B4" s="45" t="n"/>
      <c r="C4" s="8" t="inlineStr">
        <is>
          <t>종목</t>
        </is>
      </c>
      <c r="D4" s="9" t="inlineStr">
        <is>
          <t>KODEX 200타겟위클리커버드콜</t>
        </is>
      </c>
      <c r="E4" s="9" t="inlineStr">
        <is>
          <t>KODEX 반도체</t>
        </is>
      </c>
      <c r="F4" s="9" t="inlineStr">
        <is>
          <t>HD한국조선해양</t>
        </is>
      </c>
      <c r="G4" s="9" t="inlineStr">
        <is>
          <t>LD디스플레이</t>
        </is>
      </c>
      <c r="H4" s="9" t="n"/>
      <c r="I4" s="45" t="n"/>
    </row>
    <row r="5">
      <c r="B5" s="46" t="inlineStr">
        <is>
          <t>Plan</t>
        </is>
      </c>
      <c r="C5" s="43" t="inlineStr">
        <is>
          <t>투자비중</t>
        </is>
      </c>
      <c r="D5" s="56" t="n">
        <v>0.4</v>
      </c>
      <c r="E5" s="56" t="n">
        <v>0.3</v>
      </c>
      <c r="F5" s="56" t="n">
        <v>0.1</v>
      </c>
      <c r="G5" s="56" t="n">
        <v>0.1</v>
      </c>
      <c r="H5" s="56" t="n"/>
      <c r="I5" s="17">
        <f>SUM(D5:H5)</f>
        <v/>
      </c>
    </row>
    <row r="6" ht="17.5" customHeight="1" s="13">
      <c r="B6" s="44" t="n"/>
      <c r="C6" s="43" t="inlineStr">
        <is>
          <t>매수목표</t>
        </is>
      </c>
      <c r="D6" s="56" t="n">
        <v>0.4</v>
      </c>
      <c r="E6" s="56" t="n">
        <v>0.4</v>
      </c>
      <c r="F6" s="56" t="n">
        <v>0.4</v>
      </c>
      <c r="G6" s="56" t="n">
        <v>0.4</v>
      </c>
      <c r="H6" s="56" t="n"/>
      <c r="I6" s="17" t="n"/>
    </row>
    <row r="7" ht="17.5" customHeight="1" s="13">
      <c r="B7" s="45" t="n"/>
      <c r="C7" s="43" t="inlineStr">
        <is>
          <t>투자한도</t>
        </is>
      </c>
      <c r="D7" s="57">
        <f>Assets!$D$4*(D5)*D6</f>
        <v/>
      </c>
      <c r="E7" s="57">
        <f>Assets!$D$4*(E5)*E6</f>
        <v/>
      </c>
      <c r="F7" s="57">
        <f>Assets!$D$4*(F5)*F6</f>
        <v/>
      </c>
      <c r="G7" s="57">
        <f>Assets!$D$4*(G5)*G6</f>
        <v/>
      </c>
      <c r="H7" s="57">
        <f>Assets!$D$4*(H5)*H6</f>
        <v/>
      </c>
      <c r="I7" s="58">
        <f>SUM(D7:G7)</f>
        <v/>
      </c>
    </row>
    <row r="8" ht="17.5" customFormat="1" customHeight="1" s="1">
      <c r="B8" s="46" t="inlineStr">
        <is>
          <t>Investment</t>
        </is>
      </c>
      <c r="C8" s="59" t="inlineStr">
        <is>
          <t>보유량</t>
        </is>
      </c>
      <c r="D8" s="60" t="n">
        <v>4688</v>
      </c>
      <c r="E8" s="60" t="n">
        <v>922</v>
      </c>
      <c r="F8" s="61" t="n"/>
      <c r="G8" s="60" t="n">
        <v>970</v>
      </c>
      <c r="H8" s="60" t="n"/>
      <c r="I8" s="10" t="n"/>
    </row>
    <row r="9" ht="17.5" customFormat="1" customHeight="1" s="1">
      <c r="B9" s="44" t="n"/>
      <c r="C9" s="59" t="inlineStr">
        <is>
          <t>평균단가</t>
        </is>
      </c>
      <c r="D9" s="60" t="n">
        <v>18489</v>
      </c>
      <c r="E9" s="60" t="n">
        <v>107043</v>
      </c>
      <c r="F9" s="61" t="n"/>
      <c r="G9" s="60" t="n">
        <v>13580</v>
      </c>
      <c r="H9" s="60" t="n"/>
      <c r="I9" s="10" t="n"/>
    </row>
    <row r="10" ht="17.5" customHeight="1" s="13">
      <c r="B10" s="44" t="n"/>
      <c r="C10" s="8" t="inlineStr">
        <is>
          <t>투자금</t>
        </is>
      </c>
      <c r="D10" s="57">
        <f>D9*D8</f>
        <v/>
      </c>
      <c r="E10" s="57">
        <f>E9*E8</f>
        <v/>
      </c>
      <c r="F10" s="57">
        <f>F9*F8</f>
        <v/>
      </c>
      <c r="G10" s="57">
        <f>G9*G8</f>
        <v/>
      </c>
      <c r="H10" s="57">
        <f>H9*H8</f>
        <v/>
      </c>
      <c r="I10" s="62">
        <f>SUM(D10:G10)</f>
        <v/>
      </c>
    </row>
    <row r="11" ht="17.5" customHeight="1" s="13">
      <c r="B11" s="45" t="n"/>
      <c r="C11" s="43" t="inlineStr">
        <is>
          <t>비중</t>
        </is>
      </c>
      <c r="D11" s="63">
        <f>D10/$I$10</f>
        <v/>
      </c>
      <c r="E11" s="63">
        <f>E10/$I$10</f>
        <v/>
      </c>
      <c r="F11" s="63">
        <f>F10/$I$10</f>
        <v/>
      </c>
      <c r="G11" s="63">
        <f>G10/$I$10</f>
        <v/>
      </c>
      <c r="H11" s="63">
        <f>H10/$I$10</f>
        <v/>
      </c>
      <c r="I11" s="64">
        <f>SUM(D11:G11)</f>
        <v/>
      </c>
    </row>
    <row r="12">
      <c r="B12" s="65" t="inlineStr">
        <is>
          <t>매매</t>
        </is>
      </c>
      <c r="C12" s="43" t="inlineStr">
        <is>
          <t>현재가</t>
        </is>
      </c>
      <c r="D12" s="66" t="n">
        <v>19150</v>
      </c>
      <c r="E12" s="66" t="n">
        <v>110620</v>
      </c>
      <c r="F12" s="66" t="n">
        <v>408000</v>
      </c>
      <c r="G12" s="66" t="n">
        <v>13830</v>
      </c>
      <c r="H12" s="67" t="n"/>
      <c r="I12" s="43" t="n"/>
    </row>
    <row r="13">
      <c r="C13" s="8" t="inlineStr">
        <is>
          <t>수익률</t>
        </is>
      </c>
      <c r="D13" s="11">
        <f>IF(D9&gt;0, (D12-D9)/D9, 0)</f>
        <v/>
      </c>
      <c r="E13" s="11">
        <f>IF(E9&gt;0, (E12-E9)/E9, 0)</f>
        <v/>
      </c>
      <c r="F13" s="11">
        <f>IF(F9&gt;0, (F12-F9)/F9, 0)</f>
        <v/>
      </c>
      <c r="G13" s="11">
        <f>IF(G9&gt;0, (G12-G9)/G9, 0)</f>
        <v/>
      </c>
      <c r="H13" s="11">
        <f>IF(H9&gt;0, (H12-H9)/H9, 0)</f>
        <v/>
      </c>
      <c r="I13" s="11">
        <f>I14/I10</f>
        <v/>
      </c>
    </row>
    <row r="14">
      <c r="C14" s="43" t="inlineStr">
        <is>
          <t>수익</t>
        </is>
      </c>
      <c r="D14" s="68">
        <f>D10*D13</f>
        <v/>
      </c>
      <c r="E14" s="68">
        <f>E10*E13</f>
        <v/>
      </c>
      <c r="F14" s="68">
        <f>F10*F13</f>
        <v/>
      </c>
      <c r="G14" s="68">
        <f>G10*G13</f>
        <v/>
      </c>
      <c r="H14" s="68">
        <f>H10*H13</f>
        <v/>
      </c>
      <c r="I14" s="68">
        <f>SUM(D14:G14)</f>
        <v/>
      </c>
    </row>
    <row r="15">
      <c r="C15" s="43" t="inlineStr">
        <is>
          <t>매매</t>
        </is>
      </c>
      <c r="D15" s="68">
        <f>D7-D10</f>
        <v/>
      </c>
      <c r="E15" s="68">
        <f>E7-E10</f>
        <v/>
      </c>
      <c r="F15" s="68">
        <f>F7-F10</f>
        <v/>
      </c>
      <c r="G15" s="68">
        <f>G7-G10</f>
        <v/>
      </c>
      <c r="H15" s="68">
        <f>H7-H10</f>
        <v/>
      </c>
      <c r="I15" s="51">
        <f>SUM(D15:G15)</f>
        <v/>
      </c>
    </row>
    <row r="16" ht="17.5" customHeight="1" s="13">
      <c r="C16" s="43" t="inlineStr">
        <is>
          <t>추가매수</t>
        </is>
      </c>
      <c r="D16" s="51">
        <f>IFERROR((D7-D10)/D12, 0)</f>
        <v/>
      </c>
      <c r="E16" s="51">
        <f>IFERROR((E7-E10)/E12, 0)</f>
        <v/>
      </c>
      <c r="F16" s="51">
        <f>IFERROR((F7-F10)/F12, 0)</f>
        <v/>
      </c>
      <c r="G16" s="51">
        <f>IFERROR((G7-G10)/G12, 0)</f>
        <v/>
      </c>
      <c r="H16" s="51">
        <f>IFERROR((H7-H10)/H12, 0)</f>
        <v/>
      </c>
      <c r="I16" s="68">
        <f>IFERROR((I7-I10)/I12, 0)</f>
        <v/>
      </c>
    </row>
    <row r="17" ht="17.5" customFormat="1" customHeight="1" s="1">
      <c r="C17" s="43" t="inlineStr">
        <is>
          <t>LONG/SHORT</t>
        </is>
      </c>
      <c r="D17" s="60" t="n">
        <v>1</v>
      </c>
      <c r="E17" s="60" t="n">
        <v>1</v>
      </c>
      <c r="F17" s="60" t="n">
        <v>1</v>
      </c>
      <c r="G17" s="60" t="n">
        <v>1</v>
      </c>
      <c r="H17" s="60" t="n">
        <v>1</v>
      </c>
      <c r="I17" s="68" t="n"/>
    </row>
    <row r="18" ht="17.5" customFormat="1" customHeight="1" s="1">
      <c r="C18" s="50" t="n">
        <v>0.4</v>
      </c>
      <c r="D18" s="51">
        <f>IF(D$17=1, D$16*Assets!$H4, -D$8*Assets!$H4)</f>
        <v/>
      </c>
      <c r="E18" s="51">
        <f>IF(E$17=1, E$16*Assets!$H4, -E$8*Assets!$H4)</f>
        <v/>
      </c>
      <c r="F18" s="51">
        <f>IF(F$17=1, F$16*Assets!$H4, -F$8*Assets!$H4)</f>
        <v/>
      </c>
      <c r="G18" s="51">
        <f>IF(G$17=1, G$16*Assets!$H4, -G$8*Assets!$H4)</f>
        <v/>
      </c>
      <c r="H18" s="51">
        <f>IF(H$17=1, H$16*Assets!$H4, -H$8*Assets!$H4)</f>
        <v/>
      </c>
      <c r="I18" s="68" t="n"/>
    </row>
    <row r="19" ht="17.5" customFormat="1" customHeight="1" s="1">
      <c r="C19" s="50" t="n">
        <v>0.3</v>
      </c>
      <c r="D19" s="51">
        <f>IF(D$17=1, D$16*Assets!$H5, -D$8*Assets!$H5)</f>
        <v/>
      </c>
      <c r="E19" s="51">
        <f>IF(E$17=1, E$16*Assets!$H5, -E$8*Assets!$H5)</f>
        <v/>
      </c>
      <c r="F19" s="51">
        <f>IF(F$17=1, F$16*Assets!$H5, -F$8*Assets!$H5)</f>
        <v/>
      </c>
      <c r="G19" s="51">
        <f>IF(G$17=1, G$16*Assets!$H5, -G$8*Assets!$H5)</f>
        <v/>
      </c>
      <c r="H19" s="51">
        <f>IF(H$17=1, H$16*Assets!$H5, -H$8*Assets!$H5)</f>
        <v/>
      </c>
      <c r="I19" s="68" t="n"/>
    </row>
    <row r="20" ht="17.5" customFormat="1" customHeight="1" s="1">
      <c r="C20" s="50" t="n">
        <v>0.2</v>
      </c>
      <c r="D20" s="51">
        <f>IF(D$17=1, D$16*Assets!$H6, -D$8*Assets!$H6)</f>
        <v/>
      </c>
      <c r="E20" s="51">
        <f>IF(E$17=1, E$16*Assets!$H6, -E$8*Assets!$H6)</f>
        <v/>
      </c>
      <c r="F20" s="51">
        <f>IF(F$17=1, F$16*Assets!$H6, -F$8*Assets!$H6)</f>
        <v/>
      </c>
      <c r="G20" s="51">
        <f>IF(G$17=1, G$16*Assets!$H6, -G$8*Assets!$H6)</f>
        <v/>
      </c>
      <c r="H20" s="51">
        <f>IF(H$17=1, H$16*Assets!$H6, -H$8*Assets!$H6)</f>
        <v/>
      </c>
      <c r="I20" s="68" t="n"/>
    </row>
    <row r="21" ht="17.5" customFormat="1" customHeight="1" s="1">
      <c r="C21" s="50" t="n">
        <v>0.1</v>
      </c>
      <c r="D21" s="51">
        <f>IF(D$17=1, D$16*Assets!$H7, -D$8*Assets!$H7)</f>
        <v/>
      </c>
      <c r="E21" s="51">
        <f>IF(E$17=1, E$16*Assets!$H7, -E$8*Assets!$H7)</f>
        <v/>
      </c>
      <c r="F21" s="51">
        <f>IF(F$17=1, F$16*Assets!$H7, -F$8*Assets!$H7)</f>
        <v/>
      </c>
      <c r="G21" s="51">
        <f>IF(G$17=1, G$16*Assets!$H7, -G$8*Assets!$H7)</f>
        <v/>
      </c>
      <c r="H21" s="51">
        <f>IF(H$17=1, H$16*Assets!$H7, -H$8*Assets!$H7)</f>
        <v/>
      </c>
      <c r="I21" s="68" t="n"/>
    </row>
    <row r="22" ht="17.5" customFormat="1" customHeight="1" s="1">
      <c r="C22" s="12" t="n"/>
      <c r="D22" s="69" t="n"/>
      <c r="E22" s="69" t="n"/>
      <c r="F22" s="69" t="n"/>
      <c r="G22" s="69" t="n"/>
      <c r="H22" s="69" t="n"/>
      <c r="I22" s="69" t="n"/>
    </row>
    <row r="23" ht="17.5" customFormat="1" customHeight="1" s="1">
      <c r="C23" s="12" t="n"/>
      <c r="D23" s="69" t="n"/>
      <c r="E23" s="69" t="n"/>
      <c r="F23" s="69" t="n"/>
      <c r="G23" s="69" t="n"/>
      <c r="H23" s="69" t="n"/>
      <c r="I23" s="69" t="n"/>
    </row>
    <row r="24">
      <c r="B24" s="70" t="inlineStr">
        <is>
          <t>목표</t>
        </is>
      </c>
      <c r="C24" s="8" t="inlineStr">
        <is>
          <t>목표수량</t>
        </is>
      </c>
      <c r="D24" s="57">
        <f>D8+D16</f>
        <v/>
      </c>
      <c r="E24" s="57">
        <f>E8+E16</f>
        <v/>
      </c>
      <c r="F24" s="57">
        <f>F8+F16</f>
        <v/>
      </c>
      <c r="G24" s="57">
        <f>G8+G16</f>
        <v/>
      </c>
      <c r="H24" s="57">
        <f>H8+H16</f>
        <v/>
      </c>
      <c r="I24" s="43" t="inlineStr">
        <is>
          <t>투자금 목표</t>
        </is>
      </c>
    </row>
    <row r="25">
      <c r="B25" s="44" t="n"/>
      <c r="C25" s="8" t="inlineStr">
        <is>
          <t>목표평단가</t>
        </is>
      </c>
      <c r="D25" s="71">
        <f>IF(D10&gt;0,(((D8*D9)+(D16*D12))/(D8+D16)),0)</f>
        <v/>
      </c>
      <c r="E25" s="71">
        <f>IF(E10&gt;0,(((E8*E9)+(E16*E12))/(E8+E16)),0)</f>
        <v/>
      </c>
      <c r="F25" s="71">
        <f>IF(F10&gt;0,(((F8*F9)+(F16*F12))/(F8+F16)),0)</f>
        <v/>
      </c>
      <c r="G25" s="71">
        <f>IF(G10&gt;0,(((G8*G9)+(G16*G12))/(G8+G16)),0)</f>
        <v/>
      </c>
      <c r="H25" s="71">
        <f>IF(H10&gt;0,(((H8*H9)+(H16*H12))/(H8+H16)),0)</f>
        <v/>
      </c>
      <c r="I25" s="45" t="n"/>
    </row>
    <row r="26" ht="17.5" customHeight="1" s="13">
      <c r="B26" s="45" t="n"/>
      <c r="C26" s="8" t="inlineStr">
        <is>
          <t>투자금</t>
        </is>
      </c>
      <c r="D26" s="51">
        <f>D24*D25</f>
        <v/>
      </c>
      <c r="E26" s="51">
        <f>E24*E25</f>
        <v/>
      </c>
      <c r="F26" s="51">
        <f>F24*F25</f>
        <v/>
      </c>
      <c r="G26" s="51">
        <f>G24*G25</f>
        <v/>
      </c>
      <c r="H26" s="51">
        <f>H24*H25</f>
        <v/>
      </c>
      <c r="I26" s="72">
        <f>SUM(D26:G26)</f>
        <v/>
      </c>
    </row>
    <row r="27"/>
    <row r="28"/>
    <row r="29"/>
    <row r="30"/>
    <row r="31"/>
    <row r="32">
      <c r="E32" s="73" t="n"/>
    </row>
  </sheetData>
  <mergeCells count="7">
    <mergeCell ref="I2:I4"/>
    <mergeCell ref="B8:B11"/>
    <mergeCell ref="B12:B21"/>
    <mergeCell ref="B24:B26"/>
    <mergeCell ref="B2:B4"/>
    <mergeCell ref="I24:I25"/>
    <mergeCell ref="B5:B7"/>
  </mergeCells>
  <conditionalFormatting sqref="D16:D23 H16:H17 H22:H23">
    <cfRule type="expression" priority="18" dxfId="4">
      <formula>#REF!+#REF!&gt;0</formula>
    </cfRule>
  </conditionalFormatting>
  <conditionalFormatting sqref="D15:E15">
    <cfRule type="expression" priority="13" dxfId="4">
      <formula>#REF!+C15&gt;0</formula>
    </cfRule>
  </conditionalFormatting>
  <conditionalFormatting sqref="D13:I13">
    <cfRule type="expression" priority="9" dxfId="0" stopIfTrue="1">
      <formula>D13&gt;0</formula>
    </cfRule>
  </conditionalFormatting>
  <conditionalFormatting sqref="D13:I14">
    <cfRule type="expression" priority="6" dxfId="1">
      <formula>D13&lt;0</formula>
    </cfRule>
  </conditionalFormatting>
  <conditionalFormatting sqref="D14:I14">
    <cfRule type="expression" priority="7" dxfId="0">
      <formula>D14&gt;0</formula>
    </cfRule>
  </conditionalFormatting>
  <conditionalFormatting sqref="E16:E17 E22:E23 I16:I23">
    <cfRule type="expression" priority="25" dxfId="4">
      <formula>C16+#REF!&gt;0</formula>
    </cfRule>
  </conditionalFormatting>
  <conditionalFormatting sqref="F15">
    <cfRule type="expression" priority="52" dxfId="4">
      <formula>#REF!+#REF!&gt;0</formula>
    </cfRule>
  </conditionalFormatting>
  <conditionalFormatting sqref="F16:F17 F22:F23">
    <cfRule type="expression" priority="55" dxfId="4">
      <formula>E16+#REF!&gt;0</formula>
    </cfRule>
  </conditionalFormatting>
  <conditionalFormatting sqref="G16:G17 G22:G23">
    <cfRule type="expression" priority="54" dxfId="4">
      <formula>#REF!+#REF!&gt;0</formula>
    </cfRule>
  </conditionalFormatting>
  <conditionalFormatting sqref="G15:I15">
    <cfRule type="expression" priority="5" dxfId="4">
      <formula>#REF!+F15&gt;0</formula>
    </cfRule>
  </conditionalFormatting>
  <conditionalFormatting sqref="E18:E21">
    <cfRule type="expression" priority="4" dxfId="4">
      <formula>#REF!+#REF!&gt;0</formula>
    </cfRule>
  </conditionalFormatting>
  <conditionalFormatting sqref="F18:F21">
    <cfRule type="expression" priority="3" dxfId="4">
      <formula>#REF!+#REF!&gt;0</formula>
    </cfRule>
  </conditionalFormatting>
  <conditionalFormatting sqref="G18:G21">
    <cfRule type="expression" priority="2" dxfId="4">
      <formula>#REF!+#REF!&gt;0</formula>
    </cfRule>
  </conditionalFormatting>
  <conditionalFormatting sqref="H18:H21">
    <cfRule type="expression" priority="1" dxfId="4">
      <formula>#REF!+#REF!&gt;0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E29" sqref="E29"/>
    </sheetView>
  </sheetViews>
  <sheetFormatPr baseColWidth="8" defaultRowHeight="17"/>
  <cols>
    <col width="3.33203125" customWidth="1" style="13" min="1" max="1"/>
    <col width="11" bestFit="1" customWidth="1" style="13" min="2" max="2"/>
    <col width="10.4140625" bestFit="1" customWidth="1" style="13" min="3" max="3"/>
    <col width="39" customWidth="1" style="13" min="4" max="4"/>
    <col width="34.33203125" customWidth="1" style="13" min="5" max="5"/>
    <col width="13.83203125" bestFit="1" customWidth="1" style="13" min="6" max="6"/>
  </cols>
  <sheetData>
    <row r="1" ht="17.5" customHeight="1" s="13"/>
    <row r="2">
      <c r="B2" s="46" t="inlineStr">
        <is>
          <t>ITEMs</t>
        </is>
      </c>
      <c r="C2" s="8" t="inlineStr">
        <is>
          <t>#</t>
        </is>
      </c>
      <c r="D2" s="7" t="n">
        <v>1</v>
      </c>
      <c r="E2" s="7" t="n">
        <v>2</v>
      </c>
      <c r="F2" s="43" t="inlineStr">
        <is>
          <t>합계</t>
        </is>
      </c>
    </row>
    <row r="3">
      <c r="B3" s="44" t="n"/>
      <c r="C3" s="8" t="inlineStr">
        <is>
          <t>코드</t>
        </is>
      </c>
      <c r="D3" s="14" t="inlineStr">
        <is>
          <t>494300</t>
        </is>
      </c>
      <c r="E3" s="14" t="inlineStr">
        <is>
          <t>381180</t>
        </is>
      </c>
      <c r="F3" s="44" t="n"/>
    </row>
    <row r="4" ht="17.5" customHeight="1" s="13">
      <c r="B4" s="45" t="n"/>
      <c r="C4" s="8" t="inlineStr">
        <is>
          <t>종목</t>
        </is>
      </c>
      <c r="D4" s="9" t="inlineStr">
        <is>
          <t>KODEX 미국나스닥100데일리커버드콜OTM</t>
        </is>
      </c>
      <c r="E4" s="9" t="inlineStr">
        <is>
          <t>TIGER 미국필라델피아반도체나스닥</t>
        </is>
      </c>
      <c r="F4" s="45" t="n"/>
    </row>
    <row r="5">
      <c r="B5" s="46" t="inlineStr">
        <is>
          <t>Plane</t>
        </is>
      </c>
      <c r="C5" s="43" t="inlineStr">
        <is>
          <t>투자비중</t>
        </is>
      </c>
      <c r="D5" s="56" t="n">
        <v>0.7</v>
      </c>
      <c r="E5" s="56" t="n">
        <v>0.3</v>
      </c>
      <c r="F5" s="17">
        <f>SUM(A5:E5)</f>
        <v/>
      </c>
    </row>
    <row r="6" ht="17.5" customHeight="1" s="13">
      <c r="B6" s="44" t="n"/>
      <c r="C6" s="43" t="inlineStr">
        <is>
          <t>매수목표</t>
        </is>
      </c>
      <c r="D6" s="56" t="n">
        <v>1</v>
      </c>
      <c r="E6" s="56" t="n">
        <v>0.4</v>
      </c>
      <c r="F6" s="17" t="n"/>
    </row>
    <row r="7" ht="17.5" customHeight="1" s="13">
      <c r="B7" s="45" t="n"/>
      <c r="C7" s="43" t="inlineStr">
        <is>
          <t>투자한도</t>
        </is>
      </c>
      <c r="D7" s="57">
        <f>Assets!$D$7*(D5)*D6</f>
        <v/>
      </c>
      <c r="E7" s="57">
        <f>Assets!$D$7*(E5)*E6</f>
        <v/>
      </c>
      <c r="F7" s="62">
        <f>SUM(A7:D7)</f>
        <v/>
      </c>
    </row>
    <row r="8" ht="17.5" customHeight="1" s="13">
      <c r="B8" s="46" t="inlineStr">
        <is>
          <t>Investment</t>
        </is>
      </c>
      <c r="C8" s="59" t="inlineStr">
        <is>
          <t>보유량</t>
        </is>
      </c>
      <c r="D8" s="60" t="n">
        <v>8489</v>
      </c>
      <c r="E8" s="60" t="n">
        <v>392</v>
      </c>
      <c r="F8" s="10" t="n"/>
    </row>
    <row r="9" ht="17.5" customHeight="1" s="13">
      <c r="B9" s="44" t="n"/>
      <c r="C9" s="59" t="inlineStr">
        <is>
          <t>평균단가</t>
        </is>
      </c>
      <c r="D9" s="60" t="n">
        <v>9597</v>
      </c>
      <c r="E9" s="60" t="n">
        <v>35690</v>
      </c>
      <c r="F9" s="10" t="n"/>
    </row>
    <row r="10" ht="17.5" customHeight="1" s="13">
      <c r="B10" s="44" t="n"/>
      <c r="C10" s="8" t="inlineStr">
        <is>
          <t>투자금</t>
        </is>
      </c>
      <c r="D10" s="57">
        <f>D9*D8</f>
        <v/>
      </c>
      <c r="E10" s="57">
        <f>E9*E8</f>
        <v/>
      </c>
      <c r="F10" s="62">
        <f>SUM(A10:D10)</f>
        <v/>
      </c>
    </row>
    <row r="11" ht="17.5" customHeight="1" s="13">
      <c r="B11" s="45" t="n"/>
      <c r="C11" s="43" t="inlineStr">
        <is>
          <t>비중</t>
        </is>
      </c>
      <c r="D11" s="63">
        <f>IFERROR(D10/$F$10, 0)</f>
        <v/>
      </c>
      <c r="E11" s="63">
        <f>IFERROR(E10/$F$10, 0)</f>
        <v/>
      </c>
      <c r="F11" s="64">
        <f>SUM(A11:D11)</f>
        <v/>
      </c>
    </row>
    <row r="12">
      <c r="B12" s="70" t="inlineStr">
        <is>
          <t>매매</t>
        </is>
      </c>
      <c r="C12" s="43" t="inlineStr">
        <is>
          <t>현재가</t>
        </is>
      </c>
      <c r="D12" s="66" t="n">
        <v>9940</v>
      </c>
      <c r="E12" s="66" t="n">
        <v>35955</v>
      </c>
      <c r="F12" s="43" t="n"/>
    </row>
    <row r="13">
      <c r="B13" s="44" t="n"/>
      <c r="C13" s="8" t="inlineStr">
        <is>
          <t>수익률</t>
        </is>
      </c>
      <c r="D13" s="11">
        <f>IF(D9&gt;0, (D12-D9)/D9, 0)</f>
        <v/>
      </c>
      <c r="E13" s="11">
        <f>IF(E9&gt;0, (E12-E9)/E9, 0)</f>
        <v/>
      </c>
      <c r="F13" s="11">
        <f>IFERROR(F14/F10, 0)</f>
        <v/>
      </c>
    </row>
    <row r="14">
      <c r="B14" s="44" t="n"/>
      <c r="C14" s="43" t="inlineStr">
        <is>
          <t>수익</t>
        </is>
      </c>
      <c r="D14" s="68">
        <f>D10*D13</f>
        <v/>
      </c>
      <c r="E14" s="68">
        <f>E10*E13</f>
        <v/>
      </c>
      <c r="F14" s="68">
        <f>SUM(D14:E14)</f>
        <v/>
      </c>
    </row>
    <row r="15">
      <c r="B15" s="44" t="n"/>
      <c r="C15" s="43" t="inlineStr">
        <is>
          <t>매수한도</t>
        </is>
      </c>
      <c r="D15" s="51">
        <f>D7-D10</f>
        <v/>
      </c>
      <c r="E15" s="51">
        <f>E7-E10</f>
        <v/>
      </c>
      <c r="F15" s="51">
        <f>SUM(A15:D15)</f>
        <v/>
      </c>
    </row>
    <row r="16" ht="17.5" customHeight="1" s="13">
      <c r="B16" s="45" t="n"/>
      <c r="C16" s="43" t="inlineStr">
        <is>
          <t>추가매수</t>
        </is>
      </c>
      <c r="D16" s="68">
        <f>IFERROR((D7-D10)/D12, 0)</f>
        <v/>
      </c>
      <c r="E16" s="68">
        <f>IFERROR((E7-E10)/E12, 0)</f>
        <v/>
      </c>
      <c r="F16" s="68">
        <f>IFERROR((F7-F10)/F12, 0)</f>
        <v/>
      </c>
    </row>
    <row r="17" ht="17.5" customFormat="1" customHeight="1" s="1">
      <c r="C17" s="12" t="n"/>
      <c r="D17" s="69" t="n"/>
      <c r="E17" s="69" t="n"/>
      <c r="F17" s="69" t="n"/>
    </row>
    <row r="18">
      <c r="B18" s="70" t="inlineStr">
        <is>
          <t>목표</t>
        </is>
      </c>
      <c r="C18" s="8" t="inlineStr">
        <is>
          <t>목표수량</t>
        </is>
      </c>
      <c r="D18" s="57">
        <f>D8+D16</f>
        <v/>
      </c>
      <c r="E18" s="57">
        <f>E8+E16</f>
        <v/>
      </c>
      <c r="F18" s="43" t="inlineStr">
        <is>
          <t>투자금 목표</t>
        </is>
      </c>
    </row>
    <row r="19">
      <c r="B19" s="44" t="n"/>
      <c r="C19" s="8" t="inlineStr">
        <is>
          <t>목표평단가</t>
        </is>
      </c>
      <c r="D19" s="71">
        <f>IF(D10&gt;0,(((D8*D9)+(D16*D12))/(D8+D16)),0)</f>
        <v/>
      </c>
      <c r="E19" s="71">
        <f>IF(E10&gt;0,(((E8*E9)+(E16*E12))/(E8+E16)),0)</f>
        <v/>
      </c>
      <c r="F19" s="45" t="n"/>
    </row>
    <row r="20" ht="17.5" customHeight="1" s="13">
      <c r="B20" s="45" t="n"/>
      <c r="C20" s="43" t="inlineStr">
        <is>
          <t>목표투자금</t>
        </is>
      </c>
      <c r="D20" s="74">
        <f>D18*D19</f>
        <v/>
      </c>
      <c r="E20" s="74">
        <f>E18*E19</f>
        <v/>
      </c>
      <c r="F20" s="72">
        <f>SUM(A20:D20)</f>
        <v/>
      </c>
    </row>
    <row r="21"/>
    <row r="22">
      <c r="D22" s="73">
        <f>D$16*Assets!$H4</f>
        <v/>
      </c>
      <c r="E22" s="73">
        <f>E$16*Assets!$H4</f>
        <v/>
      </c>
    </row>
    <row r="23">
      <c r="D23" s="73">
        <f>D$16*Assets!$H5</f>
        <v/>
      </c>
      <c r="E23" s="73">
        <f>E$16*Assets!$H5</f>
        <v/>
      </c>
    </row>
    <row r="24">
      <c r="D24" s="73">
        <f>D$16*Assets!$H6</f>
        <v/>
      </c>
      <c r="E24" s="73">
        <f>E$16*Assets!$H6</f>
        <v/>
      </c>
    </row>
    <row r="25">
      <c r="D25" s="73">
        <f>D$16*Assets!$H7</f>
        <v/>
      </c>
      <c r="E25" s="73">
        <f>E$16*Assets!$H7</f>
        <v/>
      </c>
    </row>
  </sheetData>
  <mergeCells count="7">
    <mergeCell ref="B8:B11"/>
    <mergeCell ref="F2:F4"/>
    <mergeCell ref="B12:B16"/>
    <mergeCell ref="B2:B4"/>
    <mergeCell ref="B18:B20"/>
    <mergeCell ref="B5:B7"/>
    <mergeCell ref="F18:F19"/>
  </mergeCells>
  <conditionalFormatting sqref="D13:F13">
    <cfRule type="expression" priority="3" dxfId="0" stopIfTrue="1">
      <formula>D13&gt;0</formula>
    </cfRule>
  </conditionalFormatting>
  <conditionalFormatting sqref="D13:F14">
    <cfRule type="expression" priority="1" dxfId="1">
      <formula>D13&lt;0</formula>
    </cfRule>
  </conditionalFormatting>
  <conditionalFormatting sqref="D14:F14">
    <cfRule type="expression" priority="11" dxfId="0">
      <formula>D14&gt;0</formula>
    </cfRule>
  </conditionalFormatting>
  <conditionalFormatting sqref="D15:F15">
    <cfRule type="expression" priority="7" dxfId="4">
      <formula>#REF!+C15&gt;0</formula>
    </cfRule>
  </conditionalFormatting>
  <conditionalFormatting sqref="D16:F17">
    <cfRule type="expression" priority="6" dxfId="4">
      <formula>B16+#REF!&gt;0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F28" sqref="F28"/>
    </sheetView>
  </sheetViews>
  <sheetFormatPr baseColWidth="8" defaultRowHeight="17"/>
  <cols>
    <col width="3.6640625" customWidth="1" style="13" min="1" max="1"/>
    <col width="11" bestFit="1" customWidth="1" style="13" min="2" max="2"/>
    <col width="10.4140625" bestFit="1" customWidth="1" style="13" min="3" max="3"/>
    <col width="31.9140625" bestFit="1" customWidth="1" style="13" min="4" max="4"/>
    <col width="26.9140625" customWidth="1" style="13" min="5" max="5"/>
    <col width="12.6640625" bestFit="1" customWidth="1" style="13" min="6" max="6"/>
  </cols>
  <sheetData>
    <row r="1"/>
    <row r="2">
      <c r="B2" s="46" t="inlineStr">
        <is>
          <t>ITEMs</t>
        </is>
      </c>
      <c r="C2" s="8" t="inlineStr">
        <is>
          <t>#</t>
        </is>
      </c>
      <c r="D2" s="7" t="n">
        <v>1</v>
      </c>
      <c r="E2" s="7" t="n">
        <v>2</v>
      </c>
      <c r="F2" s="43" t="inlineStr">
        <is>
          <t>합계</t>
        </is>
      </c>
    </row>
    <row r="3">
      <c r="B3" s="44" t="n"/>
      <c r="C3" s="8" t="inlineStr">
        <is>
          <t>코드</t>
        </is>
      </c>
      <c r="D3" s="14" t="inlineStr">
        <is>
          <t>481060</t>
        </is>
      </c>
      <c r="E3" s="15" t="n"/>
      <c r="F3" s="44" t="n"/>
    </row>
    <row r="4">
      <c r="B4" s="45" t="n"/>
      <c r="C4" s="8" t="inlineStr">
        <is>
          <t>종목</t>
        </is>
      </c>
      <c r="D4" s="9" t="inlineStr">
        <is>
          <t>KODEX 미국30년국채타겟커버드콜</t>
        </is>
      </c>
      <c r="E4" s="9" t="n"/>
      <c r="F4" s="45" t="n"/>
    </row>
    <row r="5">
      <c r="B5" s="46" t="inlineStr">
        <is>
          <t>Plane</t>
        </is>
      </c>
      <c r="C5" s="43" t="inlineStr">
        <is>
          <t>투자비중</t>
        </is>
      </c>
      <c r="D5" s="56" t="n">
        <v>1</v>
      </c>
      <c r="E5" s="56" t="n"/>
      <c r="F5" s="17">
        <f>SUM(A5:E5)</f>
        <v/>
      </c>
    </row>
    <row r="6">
      <c r="B6" s="44" t="n"/>
      <c r="C6" s="43" t="inlineStr">
        <is>
          <t>매수목표</t>
        </is>
      </c>
      <c r="D6" s="56" t="n">
        <v>1</v>
      </c>
      <c r="E6" s="56" t="n"/>
      <c r="F6" s="17" t="n"/>
    </row>
    <row r="7">
      <c r="B7" s="45" t="n"/>
      <c r="C7" s="43" t="inlineStr">
        <is>
          <t>투자한도</t>
        </is>
      </c>
      <c r="D7" s="57">
        <f>Assets!$D$10*(D5)*D6</f>
        <v/>
      </c>
      <c r="E7" s="57">
        <f>Assets!$D$4*(E5)*E6</f>
        <v/>
      </c>
      <c r="F7" s="62">
        <f>SUM(A7:D7)</f>
        <v/>
      </c>
    </row>
    <row r="8">
      <c r="B8" s="46" t="inlineStr">
        <is>
          <t>Investment</t>
        </is>
      </c>
      <c r="C8" s="59" t="inlineStr">
        <is>
          <t>보유량</t>
        </is>
      </c>
      <c r="D8" s="60" t="n">
        <v>1195</v>
      </c>
      <c r="E8" s="60" t="n"/>
      <c r="F8" s="10" t="n"/>
    </row>
    <row r="9">
      <c r="B9" s="44" t="n"/>
      <c r="C9" s="59" t="inlineStr">
        <is>
          <t>평균단가</t>
        </is>
      </c>
      <c r="D9" s="60" t="n">
        <v>8061</v>
      </c>
      <c r="E9" s="60" t="n"/>
      <c r="F9" s="10" t="n"/>
    </row>
    <row r="10">
      <c r="B10" s="44" t="n"/>
      <c r="C10" s="8" t="inlineStr">
        <is>
          <t>투자금</t>
        </is>
      </c>
      <c r="D10" s="57">
        <f>D9*D8</f>
        <v/>
      </c>
      <c r="E10" s="57">
        <f>E9*E8</f>
        <v/>
      </c>
      <c r="F10" s="62">
        <f>SUM(A10:D10)</f>
        <v/>
      </c>
    </row>
    <row r="11">
      <c r="B11" s="45" t="n"/>
      <c r="C11" s="43" t="inlineStr">
        <is>
          <t>비중</t>
        </is>
      </c>
      <c r="D11" s="63">
        <f>IFERROR(D10/$F$10, 0)</f>
        <v/>
      </c>
      <c r="E11" s="63">
        <f>IFERROR(E10/$F$10, 0)</f>
        <v/>
      </c>
      <c r="F11" s="64">
        <f>SUM(A11:D11)</f>
        <v/>
      </c>
    </row>
    <row r="12">
      <c r="B12" s="70" t="inlineStr">
        <is>
          <t>매매</t>
        </is>
      </c>
      <c r="C12" s="43" t="inlineStr">
        <is>
          <t>현재가</t>
        </is>
      </c>
      <c r="D12" s="66" t="n">
        <v>7985</v>
      </c>
      <c r="E12" s="75" t="n"/>
      <c r="F12" s="43" t="n"/>
    </row>
    <row r="13">
      <c r="B13" s="44" t="n"/>
      <c r="C13" s="8" t="inlineStr">
        <is>
          <t>수익률</t>
        </is>
      </c>
      <c r="D13" s="11">
        <f>IF(D9&gt;0, (D12-D9)/D9, 0)</f>
        <v/>
      </c>
      <c r="E13" s="11">
        <f>IF(E9&gt;0, (E12-E9)/E9, 0)</f>
        <v/>
      </c>
      <c r="F13" s="11">
        <f>IFERROR(F14/F10, 0)</f>
        <v/>
      </c>
    </row>
    <row r="14">
      <c r="B14" s="44" t="n"/>
      <c r="C14" s="43" t="inlineStr">
        <is>
          <t>수익</t>
        </is>
      </c>
      <c r="D14" s="68">
        <f>D10*D13</f>
        <v/>
      </c>
      <c r="E14" s="68">
        <f>E10*E13</f>
        <v/>
      </c>
      <c r="F14" s="68">
        <f>SUM(A14:D14)</f>
        <v/>
      </c>
    </row>
    <row r="15">
      <c r="B15" s="44" t="n"/>
      <c r="C15" s="43" t="inlineStr">
        <is>
          <t>매수한도</t>
        </is>
      </c>
      <c r="D15" s="51">
        <f>D7-D10</f>
        <v/>
      </c>
      <c r="E15" s="51">
        <f>E7-E10</f>
        <v/>
      </c>
      <c r="F15" s="51">
        <f>SUM(A15:D15)</f>
        <v/>
      </c>
    </row>
    <row r="16">
      <c r="B16" s="45" t="n"/>
      <c r="C16" s="43" t="inlineStr">
        <is>
          <t>추가매수</t>
        </is>
      </c>
      <c r="D16" s="68">
        <f>IFERROR((D7-D10)/D12, 0)</f>
        <v/>
      </c>
      <c r="E16" s="68">
        <f>IFERROR((E7-E10)/E12, 0)</f>
        <v/>
      </c>
      <c r="F16" s="68">
        <f>IFERROR((F7-F10)/F12, 0)</f>
        <v/>
      </c>
    </row>
    <row r="17" customFormat="1" s="1">
      <c r="C17" s="12" t="n"/>
      <c r="D17" s="69" t="n"/>
      <c r="E17" s="69" t="n"/>
      <c r="F17" s="69" t="n"/>
    </row>
    <row r="18">
      <c r="B18" s="70" t="inlineStr">
        <is>
          <t>목표</t>
        </is>
      </c>
      <c r="C18" s="8" t="inlineStr">
        <is>
          <t>목표수량</t>
        </is>
      </c>
      <c r="D18" s="57">
        <f>D8+D16</f>
        <v/>
      </c>
      <c r="E18" s="57">
        <f>E8+E16</f>
        <v/>
      </c>
      <c r="F18" s="43" t="inlineStr">
        <is>
          <t>투자금 목표</t>
        </is>
      </c>
    </row>
    <row r="19">
      <c r="B19" s="44" t="n"/>
      <c r="C19" s="8" t="inlineStr">
        <is>
          <t>목표평단가</t>
        </is>
      </c>
      <c r="D19" s="71">
        <f>IF(D10&gt;0,(((D8*D9)+(D16*D12))/(D8+D16)),0)</f>
        <v/>
      </c>
      <c r="E19" s="71">
        <f>IF(E10&gt;0,(((E8*E9)+(E16*E12))/(E8+E16)),0)</f>
        <v/>
      </c>
      <c r="F19" s="45" t="n"/>
    </row>
    <row r="20">
      <c r="B20" s="45" t="n"/>
      <c r="C20" s="43" t="inlineStr">
        <is>
          <t>목표투자금</t>
        </is>
      </c>
      <c r="D20" s="74">
        <f>D18*D19</f>
        <v/>
      </c>
      <c r="E20" s="74">
        <f>E18*E19</f>
        <v/>
      </c>
      <c r="F20" s="72">
        <f>SUM(A20:D20)</f>
        <v/>
      </c>
    </row>
  </sheetData>
  <mergeCells count="7">
    <mergeCell ref="B8:B11"/>
    <mergeCell ref="F2:F4"/>
    <mergeCell ref="B12:B16"/>
    <mergeCell ref="B2:B4"/>
    <mergeCell ref="B18:B20"/>
    <mergeCell ref="B5:B7"/>
    <mergeCell ref="F18:F19"/>
  </mergeCells>
  <conditionalFormatting sqref="D13:E13">
    <cfRule type="expression" priority="12" dxfId="0" stopIfTrue="1">
      <formula>D13&gt;0</formula>
    </cfRule>
  </conditionalFormatting>
  <conditionalFormatting sqref="D13:E14">
    <cfRule type="expression" priority="9" dxfId="1">
      <formula>D13&lt;0</formula>
    </cfRule>
  </conditionalFormatting>
  <conditionalFormatting sqref="D14:E14">
    <cfRule type="expression" priority="10" dxfId="0">
      <formula>D14&gt;0</formula>
    </cfRule>
  </conditionalFormatting>
  <conditionalFormatting sqref="D15:F15">
    <cfRule type="expression" priority="6" dxfId="4">
      <formula>#REF!+C15&gt;0</formula>
    </cfRule>
  </conditionalFormatting>
  <conditionalFormatting sqref="D16:F17">
    <cfRule type="expression" priority="5" dxfId="4">
      <formula>B16+#REF!&gt;0</formula>
    </cfRule>
  </conditionalFormatting>
  <conditionalFormatting sqref="F13">
    <cfRule type="expression" priority="1" dxfId="1">
      <formula>F13&lt;0</formula>
    </cfRule>
    <cfRule type="expression" priority="2" dxfId="0" stopIfTrue="1">
      <formula>F13&gt;0</formula>
    </cfRule>
  </conditionalFormatting>
  <conditionalFormatting sqref="F14">
    <cfRule type="expression" priority="3" dxfId="1">
      <formula>E14&lt;0</formula>
    </cfRule>
    <cfRule type="expression" priority="4" dxfId="0">
      <formula>E14&gt;0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2026-04-16T14:43:18Z</dcterms:modified>
  <cp:lastModifiedBy>TAEHO HWANG</cp:lastModifiedBy>
  <cp:version>1300.0100.01</cp:version>
  <cp:revision>2</cp:revision>
  <cp:lastPrinted>2026-01-22T00:39:54Z</cp:lastPrinted>
</cp:coreProperties>
</file>