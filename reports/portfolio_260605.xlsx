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7720" yWindow="760" windowWidth="24020" windowHeight="18770" tabRatio="661" firstSheet="0" activeTab="1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MA" sheetId="2" state="visible" r:id="rId2"/>
    <sheet xmlns:r="http://schemas.openxmlformats.org/officeDocument/2006/relationships" name="개인연금" sheetId="3" state="visible" r:id="rId3"/>
    <sheet xmlns:r="http://schemas.openxmlformats.org/officeDocument/2006/relationships" name="퇴직연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%"/>
    <numFmt numFmtId="166" formatCode="_-* #,##0.00_-;\-* #,##0.00_-;_-* &quot;-&quot;??_-;_-@_-"/>
  </numFmts>
  <fonts count="11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6">
    <xf numFmtId="0" fontId="0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0" fontId="5" fillId="3" borderId="1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49" fontId="3" fillId="2" borderId="1" applyAlignment="1" pivotButton="0" quotePrefix="0" xfId="5">
      <alignment horizontal="center"/>
    </xf>
    <xf numFmtId="49" fontId="0" fillId="2" borderId="1" applyAlignment="1" pivotButton="0" quotePrefix="0" xfId="5">
      <alignment horizontal="center"/>
    </xf>
    <xf numFmtId="0" fontId="3" fillId="0" borderId="1" pivotButton="0" quotePrefix="0" xfId="0"/>
    <xf numFmtId="9" fontId="3" fillId="0" borderId="1" applyAlignment="1" pivotButton="0" quotePrefix="0" xfId="0">
      <alignment horizontal="center" vertical="center"/>
    </xf>
    <xf numFmtId="14" fontId="0" fillId="0" borderId="1" pivotButton="0" quotePrefix="0" xfId="0"/>
    <xf numFmtId="0" fontId="0" fillId="0" borderId="1" pivotButton="0" quotePrefix="0" xfId="0"/>
    <xf numFmtId="9" fontId="3" fillId="0" borderId="1" applyAlignment="1" pivotButton="0" quotePrefix="0" xfId="1">
      <alignment vertical="center"/>
    </xf>
    <xf numFmtId="10" fontId="3" fillId="0" borderId="1" applyAlignment="1" pivotButton="0" quotePrefix="0" xfId="1">
      <alignment vertical="center"/>
    </xf>
    <xf numFmtId="10" fontId="3" fillId="0" borderId="0" applyAlignment="1" pivotButton="0" quotePrefix="0" xfId="1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2" fillId="0" borderId="0" pivotButton="0" quotePrefix="0" xfId="0"/>
    <xf numFmtId="165" fontId="2" fillId="2" borderId="1" applyAlignment="1" pivotButton="0" quotePrefix="0" xfId="1">
      <alignment vertical="center"/>
    </xf>
    <xf numFmtId="164" fontId="3" fillId="0" borderId="1" applyAlignment="1" pivotButton="0" quotePrefix="0" xfId="2">
      <alignment horizontal="right" vertical="center"/>
    </xf>
    <xf numFmtId="164" fontId="3" fillId="0" borderId="1" applyAlignment="1" pivotButton="0" quotePrefix="0" xfId="0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" applyAlignment="1" pivotButton="0" quotePrefix="0" xfId="0">
      <alignment vertical="center"/>
    </xf>
    <xf numFmtId="165" fontId="3" fillId="0" borderId="1" applyAlignment="1" pivotButton="0" quotePrefix="0" xfId="1">
      <alignment vertical="center"/>
    </xf>
    <xf numFmtId="165" fontId="0" fillId="0" borderId="1" applyAlignment="1" pivotButton="0" quotePrefix="0" xfId="0">
      <alignment vertical="center"/>
    </xf>
    <xf numFmtId="164" fontId="9" fillId="2" borderId="1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164" fontId="0" fillId="0" borderId="1" pivotButton="0" quotePrefix="0" xfId="0"/>
    <xf numFmtId="164" fontId="3" fillId="0" borderId="0" applyAlignment="1" pivotButton="0" quotePrefix="0" xfId="2">
      <alignment vertical="center"/>
    </xf>
    <xf numFmtId="164" fontId="0" fillId="0" borderId="1" applyAlignment="1" pivotButton="0" quotePrefix="0" xfId="2">
      <alignment vertical="center"/>
    </xf>
    <xf numFmtId="166" fontId="0" fillId="0" borderId="0" applyAlignment="1" pivotButton="0" quotePrefix="0" xfId="0">
      <alignment vertical="center"/>
    </xf>
    <xf numFmtId="164" fontId="8" fillId="2" borderId="1" applyAlignment="1" pivotButton="0" quotePrefix="0" xfId="2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7" fillId="4" borderId="1" applyAlignment="1" pivotButton="0" quotePrefix="0" xfId="2">
      <alignment horizontal="center" vertical="center"/>
    </xf>
    <xf numFmtId="0" fontId="7" fillId="4" borderId="1" applyAlignment="1" pivotButton="0" quotePrefix="0" xfId="0">
      <alignment horizontal="center" vertical="center"/>
    </xf>
    <xf numFmtId="164" fontId="7" fillId="4" borderId="4" applyAlignment="1" pivotButton="0" quotePrefix="0" xfId="2">
      <alignment horizontal="center" vertical="center"/>
    </xf>
    <xf numFmtId="164" fontId="7" fillId="4" borderId="5" applyAlignment="1" pivotButton="0" quotePrefix="0" xfId="2">
      <alignment horizontal="center" vertical="center"/>
    </xf>
    <xf numFmtId="0" fontId="0" fillId="0" borderId="6" pivotButton="0" quotePrefix="0" xfId="0"/>
    <xf numFmtId="164" fontId="3" fillId="0" borderId="0" applyAlignment="1" pivotButton="0" quotePrefix="0" xfId="2">
      <alignment vertical="center"/>
    </xf>
    <xf numFmtId="164" fontId="3" fillId="0" borderId="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3" fillId="0" borderId="1" applyAlignment="1" pivotButton="0" quotePrefix="0" xfId="1">
      <alignment vertical="center"/>
    </xf>
    <xf numFmtId="17" fontId="3" fillId="0" borderId="0" applyAlignment="1" pivotButton="0" quotePrefix="0" xfId="0">
      <alignment horizontal="center"/>
    </xf>
    <xf numFmtId="17" fontId="3" fillId="0" borderId="1" applyAlignment="1" pivotButton="0" quotePrefix="0" xfId="0">
      <alignment horizontal="center"/>
    </xf>
    <xf numFmtId="164" fontId="2" fillId="0" borderId="1" pivotButton="0" quotePrefix="0" xfId="0"/>
    <xf numFmtId="0" fontId="0" fillId="0" borderId="1" applyAlignment="1" pivotButton="0" quotePrefix="0" xfId="0">
      <alignment vertical="center"/>
    </xf>
    <xf numFmtId="0" fontId="0" fillId="0" borderId="1" pivotButton="0" quotePrefix="0" xfId="0"/>
    <xf numFmtId="17" fontId="0" fillId="0" borderId="1" pivotButton="0" quotePrefix="0" xfId="0"/>
    <xf numFmtId="164" fontId="7" fillId="4" borderId="6" applyAlignment="1" pivotButton="0" quotePrefix="0" xfId="2">
      <alignment horizontal="center" vertical="center" wrapText="1"/>
    </xf>
    <xf numFmtId="164" fontId="7" fillId="4" borderId="7" applyAlignment="1" pivotButton="0" quotePrefix="0" xfId="2">
      <alignment horizontal="center" vertical="center" wrapText="1"/>
    </xf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0" fillId="0" borderId="0" pivotButton="0" quotePrefix="0" xfId="0"/>
    <xf numFmtId="164" fontId="7" fillId="4" borderId="1" applyAlignment="1" pivotButton="0" quotePrefix="0" xfId="2">
      <alignment horizontal="center" vertical="center"/>
    </xf>
    <xf numFmtId="0" fontId="0" fillId="0" borderId="8" pivotButton="0" quotePrefix="0" xfId="0"/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1" applyAlignment="1" pivotButton="0" quotePrefix="0" xfId="1">
      <alignment vertical="center"/>
    </xf>
    <xf numFmtId="164" fontId="3" fillId="0" borderId="1" applyAlignment="1" pivotButton="0" quotePrefix="0" xfId="2">
      <alignment horizontal="right" vertical="center"/>
    </xf>
    <xf numFmtId="164" fontId="3" fillId="0" borderId="1" applyAlignment="1" pivotButton="0" quotePrefix="0" xfId="0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5" fontId="3" fillId="0" borderId="1" applyAlignment="1" pivotButton="0" quotePrefix="0" xfId="1">
      <alignment vertical="center"/>
    </xf>
    <xf numFmtId="165" fontId="0" fillId="0" borderId="1" applyAlignment="1" pivotButton="0" quotePrefix="0" xfId="0">
      <alignment vertical="center"/>
    </xf>
    <xf numFmtId="164" fontId="7" fillId="4" borderId="4" applyAlignment="1" pivotButton="0" quotePrefix="0" xfId="2">
      <alignment horizontal="center" vertical="center"/>
    </xf>
    <xf numFmtId="164" fontId="10" fillId="2" borderId="1" applyAlignment="1" pivotButton="0" quotePrefix="0" xfId="2">
      <alignment vertical="center"/>
    </xf>
    <xf numFmtId="164" fontId="9" fillId="2" borderId="1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164" fontId="7" fillId="4" borderId="7" applyAlignment="1" pivotButton="0" quotePrefix="0" xfId="2">
      <alignment horizontal="center" vertical="center" wrapText="1"/>
    </xf>
    <xf numFmtId="164" fontId="3" fillId="0" borderId="1" applyAlignment="1" pivotButton="0" quotePrefix="0" xfId="1">
      <alignment vertical="center"/>
    </xf>
    <xf numFmtId="0" fontId="0" fillId="0" borderId="7" pivotButton="0" quotePrefix="0" xfId="0"/>
    <xf numFmtId="164" fontId="7" fillId="4" borderId="5" applyAlignment="1" pivotButton="0" quotePrefix="0" xfId="2">
      <alignment horizontal="center" vertical="center"/>
    </xf>
    <xf numFmtId="164" fontId="0" fillId="0" borderId="1" applyAlignment="1" pivotButton="0" quotePrefix="0" xfId="2">
      <alignment vertical="center"/>
    </xf>
    <xf numFmtId="166" fontId="0" fillId="0" borderId="0" applyAlignment="1" pivotButton="0" quotePrefix="0" xfId="0">
      <alignment vertical="center"/>
    </xf>
    <xf numFmtId="164" fontId="8" fillId="2" borderId="1" applyAlignment="1" pivotButton="0" quotePrefix="0" xfId="2">
      <alignment vertical="center"/>
    </xf>
    <xf numFmtId="164" fontId="0" fillId="0" borderId="1" pivotButton="0" quotePrefix="0" xfId="0"/>
  </cellXfs>
  <cellStyles count="6">
    <cellStyle name="표준" xfId="0" builtinId="0"/>
    <cellStyle name="백분율" xfId="1" builtinId="5"/>
    <cellStyle name="쉼표 [0]" xfId="2" builtinId="6"/>
    <cellStyle name="표준 2" xfId="3"/>
    <cellStyle name="쉼표 [0] 2" xfId="4"/>
    <cellStyle name="Normal" xfId="5"/>
  </cellStyles>
  <dxfs count="35"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3"/>
  <sheetViews>
    <sheetView workbookViewId="0">
      <selection activeCell="G25" sqref="G25"/>
    </sheetView>
  </sheetViews>
  <sheetFormatPr baseColWidth="8" defaultRowHeight="17"/>
  <cols>
    <col width="14.25" bestFit="1" customWidth="1" style="46" min="2" max="2"/>
    <col width="17.4140625" customWidth="1" style="46" min="3" max="3"/>
    <col width="15.58203125" bestFit="1" customWidth="1" style="46" min="4" max="4"/>
    <col width="15.58203125" customWidth="1" style="46" min="5" max="5"/>
    <col width="14.25" bestFit="1" customWidth="1" style="46" min="6" max="7"/>
    <col hidden="1" width="14.25" customWidth="1" style="46" min="8" max="8"/>
    <col width="12.6640625" bestFit="1" customWidth="1" style="46" min="9" max="9"/>
    <col width="2.4140625" customWidth="1" style="46" min="10" max="10"/>
  </cols>
  <sheetData>
    <row r="1" customFormat="1" s="45"/>
    <row r="2">
      <c r="B2" s="5" t="n"/>
      <c r="C2" s="4" t="inlineStr">
        <is>
          <t>투자원금</t>
        </is>
      </c>
      <c r="D2" s="4" t="inlineStr">
        <is>
          <t>현금보유비중</t>
        </is>
      </c>
      <c r="E2" s="4" t="inlineStr">
        <is>
          <t>투자가능금액</t>
        </is>
      </c>
      <c r="F2" s="4" t="inlineStr">
        <is>
          <t>투자금</t>
        </is>
      </c>
      <c r="G2" s="4" t="inlineStr">
        <is>
          <t>순자산총액</t>
        </is>
      </c>
      <c r="H2" s="4" t="inlineStr">
        <is>
          <t>이자</t>
        </is>
      </c>
      <c r="I2" s="4" t="inlineStr">
        <is>
          <t>평가손익</t>
        </is>
      </c>
      <c r="K2" s="12" t="inlineStr">
        <is>
          <t>매매비율</t>
        </is>
      </c>
    </row>
    <row r="3">
      <c r="B3" s="3" t="inlineStr">
        <is>
          <t>CMA</t>
        </is>
      </c>
      <c r="C3" s="67">
        <f>G3-I3</f>
        <v/>
      </c>
      <c r="D3" s="1" t="n">
        <v>0</v>
      </c>
      <c r="E3" s="67">
        <f>C3*(1-D3)</f>
        <v/>
      </c>
      <c r="F3" s="67">
        <f>CMA!I10</f>
        <v/>
      </c>
      <c r="G3" s="68" t="n">
        <v>1317442484</v>
      </c>
      <c r="H3" s="68" t="n"/>
      <c r="I3" s="69">
        <f>CMA!I14</f>
        <v/>
      </c>
      <c r="K3" s="16" t="n">
        <v>0.4</v>
      </c>
    </row>
    <row r="4">
      <c r="B4" s="3" t="inlineStr">
        <is>
          <t>연금저축(신)</t>
        </is>
      </c>
      <c r="C4" s="67">
        <f>G4-I4</f>
        <v/>
      </c>
      <c r="D4" s="1" t="n">
        <v>0</v>
      </c>
      <c r="E4" s="67">
        <f>C4*(1-D4)</f>
        <v/>
      </c>
      <c r="F4" s="67">
        <f>개인연금!F10</f>
        <v/>
      </c>
      <c r="G4" s="68" t="n">
        <v>138872265</v>
      </c>
      <c r="H4" s="68" t="n">
        <v>0</v>
      </c>
      <c r="I4" s="69">
        <f>개인연금!F14+H4</f>
        <v/>
      </c>
      <c r="K4" s="16" t="n">
        <v>0.3</v>
      </c>
    </row>
    <row r="5">
      <c r="B5" s="3" t="inlineStr">
        <is>
          <t>IRP</t>
        </is>
      </c>
      <c r="C5" s="67">
        <f>G5-I5</f>
        <v/>
      </c>
      <c r="D5" s="1" t="n">
        <v>0</v>
      </c>
      <c r="E5" s="67">
        <f>C5*(1-D5)</f>
        <v/>
      </c>
      <c r="F5" s="67">
        <f>퇴직연금!F10</f>
        <v/>
      </c>
      <c r="G5" s="68" t="n">
        <v>13800785</v>
      </c>
      <c r="H5" s="68" t="n">
        <v>0</v>
      </c>
      <c r="I5" s="69">
        <f>퇴직연금!F14+H5</f>
        <v/>
      </c>
      <c r="K5" s="16" t="n">
        <v>0.2</v>
      </c>
    </row>
    <row r="6">
      <c r="F6" s="70" t="n"/>
      <c r="G6" s="70" t="n"/>
      <c r="I6" s="70" t="n"/>
      <c r="K6" s="16" t="n">
        <v>0.1</v>
      </c>
    </row>
    <row r="7">
      <c r="B7" s="71" t="inlineStr">
        <is>
          <t>총자산</t>
        </is>
      </c>
      <c r="C7" s="72" t="n"/>
    </row>
    <row r="8">
      <c r="A8" s="45" t="n"/>
      <c r="B8" s="17">
        <f>C17/C11</f>
        <v/>
      </c>
      <c r="C8" s="73">
        <f>SUM(G3,G4,G5)</f>
        <v/>
      </c>
    </row>
    <row r="10">
      <c r="A10" s="45" t="n"/>
      <c r="B10" s="71" t="inlineStr">
        <is>
          <t>원금</t>
        </is>
      </c>
      <c r="C10" s="72" t="n"/>
    </row>
    <row r="11" customFormat="1" s="45">
      <c r="B11" s="12" t="n"/>
      <c r="C11" s="73">
        <f>SUM(C3,C4,C5)</f>
        <v/>
      </c>
    </row>
    <row r="12">
      <c r="A12" s="45" t="n"/>
    </row>
    <row r="13" customFormat="1" s="45">
      <c r="B13" s="71" t="inlineStr">
        <is>
          <t>투자금</t>
        </is>
      </c>
      <c r="C13" s="72" t="n"/>
    </row>
    <row r="14" customFormat="1" s="45">
      <c r="B14" s="17">
        <f>C14/C11</f>
        <v/>
      </c>
      <c r="C14" s="74">
        <f>SUM(F3:F5)</f>
        <v/>
      </c>
    </row>
    <row r="15" customFormat="1" s="45"/>
    <row r="16" customFormat="1" s="45">
      <c r="B16" s="71" t="inlineStr">
        <is>
          <t>평가손익</t>
        </is>
      </c>
      <c r="C16" s="72" t="n"/>
    </row>
    <row r="17" customFormat="1" s="45">
      <c r="B17" s="17">
        <f>C17/C14</f>
        <v/>
      </c>
      <c r="C17" s="73">
        <f>SUM(I3,I4,I5)</f>
        <v/>
      </c>
    </row>
    <row r="18" customFormat="1" s="45"/>
    <row r="19" customFormat="1" s="45">
      <c r="B19" s="71" t="inlineStr">
        <is>
          <t>배당수익</t>
        </is>
      </c>
      <c r="C19" s="72" t="n"/>
    </row>
    <row r="20" customFormat="1" s="45">
      <c r="B20" s="60" t="inlineStr">
        <is>
          <t>합계</t>
        </is>
      </c>
      <c r="C20" s="74">
        <f>SUM(C22:C34)</f>
        <v/>
      </c>
      <c r="D20" s="18" t="n"/>
    </row>
    <row r="21" customFormat="1" s="45">
      <c r="B21" s="59" t="n"/>
      <c r="C21" s="75" t="n"/>
      <c r="D21" s="18" t="n"/>
    </row>
    <row r="22" customFormat="1" s="45">
      <c r="B22" s="64" t="n">
        <v>46143</v>
      </c>
      <c r="C22" s="74">
        <f>CMA!I28+개인연금!F28+퇴직연금!F28</f>
        <v/>
      </c>
      <c r="D22" s="18" t="n"/>
    </row>
    <row r="23" customFormat="1" s="45">
      <c r="B23" s="64" t="n">
        <v>46174</v>
      </c>
      <c r="C23" s="74">
        <f>CMA!I29+개인연금!F29+퇴직연금!F29</f>
        <v/>
      </c>
    </row>
  </sheetData>
  <mergeCells count="5">
    <mergeCell ref="B13:C13"/>
    <mergeCell ref="B16:C16"/>
    <mergeCell ref="B7:C7"/>
    <mergeCell ref="B19:C19"/>
    <mergeCell ref="B10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32"/>
  <sheetViews>
    <sheetView tabSelected="1" workbookViewId="0">
      <selection activeCell="H35" sqref="H35"/>
    </sheetView>
  </sheetViews>
  <sheetFormatPr baseColWidth="8" defaultRowHeight="17"/>
  <cols>
    <col width="3.33203125" customWidth="1" style="46" min="1" max="1"/>
    <col width="11" bestFit="1" customWidth="1" style="46" min="2" max="2"/>
    <col width="13" bestFit="1" customWidth="1" style="46" min="3" max="3"/>
    <col width="28.9140625" customWidth="1" style="46" min="4" max="4"/>
    <col width="29.1640625" bestFit="1" customWidth="1" style="46" min="5" max="5"/>
    <col width="25.25" customWidth="1" style="46" min="6" max="7"/>
    <col width="23.25" customWidth="1" style="46" min="8" max="8"/>
    <col width="13.83203125" bestFit="1" customWidth="1" style="46" min="9" max="9"/>
  </cols>
  <sheetData>
    <row r="1" ht="17.5" customHeight="1" s="46"/>
    <row r="2">
      <c r="B2" s="51" t="inlineStr">
        <is>
          <t>ITEMs</t>
        </is>
      </c>
      <c r="C2" s="5" t="inlineStr">
        <is>
          <t>#</t>
        </is>
      </c>
      <c r="D2" s="4" t="n">
        <v>1</v>
      </c>
      <c r="E2" s="4" t="n">
        <v>3</v>
      </c>
      <c r="F2" s="4" t="n">
        <v>3</v>
      </c>
      <c r="G2" s="4" t="n">
        <v>4</v>
      </c>
      <c r="H2" s="4" t="n">
        <v>5</v>
      </c>
      <c r="I2" s="47" t="inlineStr">
        <is>
          <t>합계</t>
        </is>
      </c>
    </row>
    <row r="3">
      <c r="B3" s="48" t="n"/>
      <c r="C3" s="5" t="inlineStr">
        <is>
          <t>코드</t>
        </is>
      </c>
      <c r="D3" s="10" t="inlineStr">
        <is>
          <t>498400</t>
        </is>
      </c>
      <c r="E3" s="11" t="inlineStr">
        <is>
          <t>091160</t>
        </is>
      </c>
      <c r="F3" s="10" t="inlineStr">
        <is>
          <t>278530</t>
        </is>
      </c>
      <c r="G3" s="10" t="inlineStr">
        <is>
          <t>091180</t>
        </is>
      </c>
      <c r="H3" s="11" t="n"/>
      <c r="I3" s="48" t="n"/>
    </row>
    <row r="4" ht="17.5" customHeight="1" s="46">
      <c r="B4" s="49" t="n"/>
      <c r="C4" s="5" t="inlineStr">
        <is>
          <t>종목</t>
        </is>
      </c>
      <c r="D4" s="6" t="inlineStr">
        <is>
          <t>KODEX 200타겟위클리커버드콜</t>
        </is>
      </c>
      <c r="E4" s="6" t="inlineStr">
        <is>
          <t>KODEX 반도체</t>
        </is>
      </c>
      <c r="F4" s="6" t="inlineStr">
        <is>
          <t>KODEX 200TR</t>
        </is>
      </c>
      <c r="G4" s="6" t="inlineStr">
        <is>
          <t>KODEX 자동차</t>
        </is>
      </c>
      <c r="H4" s="6" t="n"/>
      <c r="I4" s="49" t="n"/>
    </row>
    <row r="5">
      <c r="B5" s="51" t="inlineStr">
        <is>
          <t>Plan</t>
        </is>
      </c>
      <c r="C5" s="47" t="inlineStr">
        <is>
          <t>투자비중</t>
        </is>
      </c>
      <c r="D5" s="76" t="n">
        <v>0.4</v>
      </c>
      <c r="E5" s="76" t="n">
        <v>0.3</v>
      </c>
      <c r="F5" s="76" t="n">
        <v>0.1</v>
      </c>
      <c r="G5" s="76" t="n">
        <v>0.1</v>
      </c>
      <c r="H5" s="76" t="n"/>
      <c r="I5" s="16">
        <f>SUM(D5:H5)</f>
        <v/>
      </c>
    </row>
    <row r="6" ht="17.5" customHeight="1" s="46">
      <c r="B6" s="48" t="n"/>
      <c r="C6" s="47" t="inlineStr">
        <is>
          <t>매수목표</t>
        </is>
      </c>
      <c r="D6" s="76" t="n">
        <v>0.4</v>
      </c>
      <c r="E6" s="76" t="n">
        <v>0.3</v>
      </c>
      <c r="F6" s="76" t="n">
        <v>0.1</v>
      </c>
      <c r="G6" s="76" t="n">
        <v>0.1</v>
      </c>
      <c r="H6" s="76" t="n"/>
      <c r="I6" s="16" t="n"/>
    </row>
    <row r="7" ht="17.5" customHeight="1" s="46">
      <c r="B7" s="49" t="n"/>
      <c r="C7" s="47" t="inlineStr">
        <is>
          <t>투자목표</t>
        </is>
      </c>
      <c r="D7" s="77">
        <f>Assets!$E$3*(D5)*D6</f>
        <v/>
      </c>
      <c r="E7" s="77">
        <f>Assets!$E$3*(E5)*E6</f>
        <v/>
      </c>
      <c r="F7" s="77">
        <f>Assets!$E$3*(F5)*F6</f>
        <v/>
      </c>
      <c r="G7" s="77">
        <f>Assets!$E$3*(G5)*G6</f>
        <v/>
      </c>
      <c r="H7" s="77">
        <f>Assets!$E$3*(H5)*H6</f>
        <v/>
      </c>
      <c r="I7" s="78">
        <f>SUM(D7:G7)</f>
        <v/>
      </c>
    </row>
    <row r="8" ht="17.5" customFormat="1" customHeight="1" s="45">
      <c r="B8" s="51" t="inlineStr">
        <is>
          <t>Investment</t>
        </is>
      </c>
      <c r="C8" s="79" t="inlineStr">
        <is>
          <t>보유량</t>
        </is>
      </c>
      <c r="D8" s="80" t="n">
        <v>8597</v>
      </c>
      <c r="E8" s="80" t="n">
        <v>874</v>
      </c>
      <c r="F8" s="80" t="n">
        <v>197</v>
      </c>
      <c r="G8" s="80" t="n">
        <v>237</v>
      </c>
      <c r="H8" s="80" t="n"/>
      <c r="I8" s="62" t="n"/>
    </row>
    <row r="9" ht="17.5" customFormat="1" customHeight="1" s="45">
      <c r="B9" s="48" t="n"/>
      <c r="C9" s="79" t="inlineStr">
        <is>
          <t>평균단가</t>
        </is>
      </c>
      <c r="D9" s="80" t="n">
        <v>19902</v>
      </c>
      <c r="E9" s="80" t="n">
        <v>113407</v>
      </c>
      <c r="F9" s="80" t="n">
        <v>48450</v>
      </c>
      <c r="G9" s="80" t="n">
        <v>40200</v>
      </c>
      <c r="H9" s="80" t="n"/>
      <c r="I9" s="62" t="n"/>
    </row>
    <row r="10" ht="17.5" customHeight="1" s="46">
      <c r="B10" s="48" t="n"/>
      <c r="C10" s="5" t="inlineStr">
        <is>
          <t>투자금</t>
        </is>
      </c>
      <c r="D10" s="77">
        <f>D9*D8</f>
        <v/>
      </c>
      <c r="E10" s="77">
        <f>E9*E8</f>
        <v/>
      </c>
      <c r="F10" s="77">
        <f>F9*F8</f>
        <v/>
      </c>
      <c r="G10" s="77">
        <f>G9*G8</f>
        <v/>
      </c>
      <c r="H10" s="77">
        <f>H9*H8</f>
        <v/>
      </c>
      <c r="I10" s="73">
        <f>SUM(D10:G10)</f>
        <v/>
      </c>
    </row>
    <row r="11" ht="17.5" customHeight="1" s="46">
      <c r="B11" s="49" t="n"/>
      <c r="C11" s="47" t="inlineStr">
        <is>
          <t>비중</t>
        </is>
      </c>
      <c r="D11" s="81">
        <f>D10/$I$10</f>
        <v/>
      </c>
      <c r="E11" s="81">
        <f>E10/$I$10</f>
        <v/>
      </c>
      <c r="F11" s="81">
        <f>F10/$I$10</f>
        <v/>
      </c>
      <c r="G11" s="81">
        <f>G10/$I$10</f>
        <v/>
      </c>
      <c r="H11" s="81">
        <f>H10/$I$10</f>
        <v/>
      </c>
      <c r="I11" s="82">
        <f>SUM(D11:G11)</f>
        <v/>
      </c>
    </row>
    <row r="12">
      <c r="B12" s="83" t="inlineStr">
        <is>
          <t>매매</t>
        </is>
      </c>
      <c r="C12" s="47" t="inlineStr">
        <is>
          <t>현재가</t>
        </is>
      </c>
      <c r="D12" s="84" t="n">
        <v>25795</v>
      </c>
      <c r="E12" s="84" t="n">
        <v>157180</v>
      </c>
      <c r="F12" s="84" t="n">
        <v>47350</v>
      </c>
      <c r="G12" s="84" t="n">
        <v>38835</v>
      </c>
      <c r="H12" s="85" t="n"/>
      <c r="I12" s="47" t="n"/>
    </row>
    <row r="13">
      <c r="C13" s="5" t="inlineStr">
        <is>
          <t>수익률</t>
        </is>
      </c>
      <c r="D13" s="8">
        <f>IF(D9&gt;0, (D12-D9)/D9, 0)</f>
        <v/>
      </c>
      <c r="E13" s="8">
        <f>IF(E9&gt;0, (E12-E9)/E9, 0)</f>
        <v/>
      </c>
      <c r="F13" s="8">
        <f>IF(F9&gt;0, (F12-F9)/F9, 0)</f>
        <v/>
      </c>
      <c r="G13" s="8">
        <f>IF(G9&gt;0, (G12-G9)/G9, 0)</f>
        <v/>
      </c>
      <c r="H13" s="8">
        <f>IF(H9&gt;0, (H12-H9)/H9, 0)</f>
        <v/>
      </c>
      <c r="I13" s="8">
        <f>I14/I10</f>
        <v/>
      </c>
    </row>
    <row r="14">
      <c r="C14" s="47" t="inlineStr">
        <is>
          <t>수익</t>
        </is>
      </c>
      <c r="D14" s="86">
        <f>D10*D13</f>
        <v/>
      </c>
      <c r="E14" s="86">
        <f>E10*E13</f>
        <v/>
      </c>
      <c r="F14" s="86">
        <f>F10*F13</f>
        <v/>
      </c>
      <c r="G14" s="86">
        <f>G10*G13</f>
        <v/>
      </c>
      <c r="H14" s="86">
        <f>H10*H13</f>
        <v/>
      </c>
      <c r="I14" s="86">
        <f>SUM(D14:G14)</f>
        <v/>
      </c>
    </row>
    <row r="15">
      <c r="C15" s="47" t="inlineStr">
        <is>
          <t>매매</t>
        </is>
      </c>
      <c r="D15" s="86">
        <f>D7-D10</f>
        <v/>
      </c>
      <c r="E15" s="86">
        <f>E7-E10</f>
        <v/>
      </c>
      <c r="F15" s="86">
        <f>F7-F10</f>
        <v/>
      </c>
      <c r="G15" s="86">
        <f>G7-G10</f>
        <v/>
      </c>
      <c r="H15" s="86">
        <f>H7-H10</f>
        <v/>
      </c>
      <c r="I15" s="67">
        <f>SUM(D15:G15)</f>
        <v/>
      </c>
    </row>
    <row r="16" ht="17.5" customHeight="1" s="46">
      <c r="C16" s="47" t="inlineStr">
        <is>
          <t>추가매수</t>
        </is>
      </c>
      <c r="D16" s="67">
        <f>IFERROR((D7-D10)/D12, 0)</f>
        <v/>
      </c>
      <c r="E16" s="67">
        <f>IFERROR((E7-E10)/E12, 0)</f>
        <v/>
      </c>
      <c r="F16" s="67">
        <f>IFERROR((F7-F10)/F12, 0)</f>
        <v/>
      </c>
      <c r="G16" s="67">
        <f>IFERROR((G7-G10)/G12, 0)</f>
        <v/>
      </c>
      <c r="H16" s="67">
        <f>IFERROR((H7-H10)/H12, 0)</f>
        <v/>
      </c>
      <c r="I16" s="86">
        <f>IFERROR((I7-I10)/I12, 0)</f>
        <v/>
      </c>
    </row>
    <row r="17" ht="17.5" customFormat="1" customHeight="1" s="45">
      <c r="C17" s="47" t="inlineStr">
        <is>
          <t>LONG/SHORT</t>
        </is>
      </c>
      <c r="D17" s="80" t="n">
        <v>1</v>
      </c>
      <c r="E17" s="80" t="n">
        <v>1</v>
      </c>
      <c r="F17" s="80" t="n">
        <v>1</v>
      </c>
      <c r="G17" s="80" t="n">
        <v>1</v>
      </c>
      <c r="H17" s="80" t="n">
        <v>0</v>
      </c>
      <c r="I17" s="86" t="n"/>
    </row>
    <row r="18" ht="17.5" customFormat="1" customHeight="1" s="45">
      <c r="C18" s="13" t="n">
        <v>0.4</v>
      </c>
      <c r="D18" s="67">
        <f>IF(D$17=1, D$16*Assets!$K3, -D$8*Assets!$K3)</f>
        <v/>
      </c>
      <c r="E18" s="67">
        <f>IF(E$17=1, E$16*Assets!$K3, -E$8*Assets!$K3)</f>
        <v/>
      </c>
      <c r="F18" s="67">
        <f>IF(F$17=1, F$16*Assets!$K3, -F$8*Assets!$K3)</f>
        <v/>
      </c>
      <c r="G18" s="67">
        <f>IF(G$17=1, G$16*Assets!$K3, -G$8*Assets!$K3)</f>
        <v/>
      </c>
      <c r="H18" s="67">
        <f>IF(H$17=1, H$16*Assets!$K3, -H$8*Assets!$K3)</f>
        <v/>
      </c>
      <c r="I18" s="86" t="n"/>
    </row>
    <row r="19" ht="17.5" customFormat="1" customHeight="1" s="45">
      <c r="C19" s="13" t="n">
        <v>0.3</v>
      </c>
      <c r="D19" s="67">
        <f>IF(D$17=1, D$16*Assets!$K4, -D$8*Assets!$K4)</f>
        <v/>
      </c>
      <c r="E19" s="67">
        <f>IF(E$17=1, E$16*Assets!$K4, -E$8*Assets!$K4)</f>
        <v/>
      </c>
      <c r="F19" s="67">
        <f>IF(F$17=1, F$16*Assets!$K4, -F$8*Assets!$K4)</f>
        <v/>
      </c>
      <c r="G19" s="67">
        <f>IF(G$17=1, G$16*Assets!$K4, -G$8*Assets!$K4)</f>
        <v/>
      </c>
      <c r="H19" s="67">
        <f>IF(H$17=1, H$16*Assets!$K4, -H$8*Assets!$K4)</f>
        <v/>
      </c>
      <c r="I19" s="86" t="n"/>
    </row>
    <row r="20" ht="17.5" customFormat="1" customHeight="1" s="45">
      <c r="C20" s="13" t="n">
        <v>0.2</v>
      </c>
      <c r="D20" s="67">
        <f>IF(D$17=1, D$16*Assets!$K5, -D$8*Assets!$K5)</f>
        <v/>
      </c>
      <c r="E20" s="67">
        <f>IF(E$17=1, E$16*Assets!$K5, -E$8*Assets!$K5)</f>
        <v/>
      </c>
      <c r="F20" s="67">
        <f>IF(F$17=1, F$16*Assets!$K5, -F$8*Assets!$K5)</f>
        <v/>
      </c>
      <c r="G20" s="67">
        <f>IF(G$17=1, G$16*Assets!$K5, -G$8*Assets!$K5)</f>
        <v/>
      </c>
      <c r="H20" s="67">
        <f>IF(H$17=1, H$16*Assets!$K5, -H$8*Assets!$K5)</f>
        <v/>
      </c>
      <c r="I20" s="86" t="n"/>
    </row>
    <row r="21" ht="17.5" customFormat="1" customHeight="1" s="45">
      <c r="C21" s="13" t="n">
        <v>0.1</v>
      </c>
      <c r="D21" s="67">
        <f>IF(D$17=1, D$16*Assets!$K6, -D$8*Assets!$K6)</f>
        <v/>
      </c>
      <c r="E21" s="67">
        <f>IF(E$17=1, E$16*Assets!$K6, -E$8*Assets!$K6)</f>
        <v/>
      </c>
      <c r="F21" s="67">
        <f>IF(F$17=1, F$16*Assets!$K6, -F$8*Assets!$K6)</f>
        <v/>
      </c>
      <c r="G21" s="67">
        <f>IF(G$17=1, G$16*Assets!$K6, -G$8*Assets!$K6)</f>
        <v/>
      </c>
      <c r="H21" s="67">
        <f>IF(H$17=1, H$16*Assets!$K6, -H$8*Assets!$K6)</f>
        <v/>
      </c>
      <c r="I21" s="86" t="n"/>
    </row>
    <row r="22" ht="17.5" customFormat="1" customHeight="1" s="45">
      <c r="C22" s="9" t="n"/>
      <c r="D22" s="87">
        <f>D18*D12</f>
        <v/>
      </c>
      <c r="E22" s="87">
        <f>E18*E12</f>
        <v/>
      </c>
      <c r="F22" s="87">
        <f>F18*F12</f>
        <v/>
      </c>
      <c r="G22" s="87">
        <f>G18*G12</f>
        <v/>
      </c>
      <c r="H22" s="87">
        <f>H18*H12</f>
        <v/>
      </c>
      <c r="I22" s="88" t="n"/>
    </row>
    <row r="23" ht="17.5" customFormat="1" customHeight="1" s="45">
      <c r="C23" s="9" t="n"/>
      <c r="D23" s="87" t="n"/>
      <c r="E23" s="87" t="n"/>
      <c r="F23" s="87" t="n"/>
      <c r="G23" s="87" t="n"/>
      <c r="H23" s="87" t="n"/>
      <c r="I23" s="88" t="n"/>
    </row>
    <row r="24">
      <c r="B24" s="71" t="inlineStr">
        <is>
          <t>목표</t>
        </is>
      </c>
      <c r="C24" s="5" t="inlineStr">
        <is>
          <t>목표수량</t>
        </is>
      </c>
      <c r="D24" s="77">
        <f>D8+D16</f>
        <v/>
      </c>
      <c r="E24" s="77">
        <f>E8+E16</f>
        <v/>
      </c>
      <c r="F24" s="77" t="n"/>
      <c r="G24" s="77">
        <f>G8+G16</f>
        <v/>
      </c>
      <c r="H24" s="77">
        <f>H8+H16</f>
        <v/>
      </c>
      <c r="I24" s="47" t="inlineStr">
        <is>
          <t>투자금 목표</t>
        </is>
      </c>
    </row>
    <row r="25">
      <c r="B25" s="48" t="n"/>
      <c r="C25" s="5" t="inlineStr">
        <is>
          <t>목표평단가</t>
        </is>
      </c>
      <c r="D25" s="89">
        <f>IF(D10&gt;0,(((D8*D9)+(D16*D12))/(D8+D16)),0)</f>
        <v/>
      </c>
      <c r="E25" s="89">
        <f>IF(E10&gt;0,(((E8*E9)+(E16*E12))/(E8+E16)),0)</f>
        <v/>
      </c>
      <c r="F25" s="89" t="n"/>
      <c r="G25" s="89">
        <f>IF(G10&gt;0,(((G8*G9)+(G16*G12))/(G8+G16)),0)</f>
        <v/>
      </c>
      <c r="H25" s="89">
        <f>IF(H10&gt;0,(((H8*H9)+(H16*H12))/(H8+H16)),0)</f>
        <v/>
      </c>
      <c r="I25" s="49" t="n"/>
    </row>
    <row r="26" ht="17.5" customHeight="1" s="46">
      <c r="B26" s="49" t="n"/>
      <c r="C26" s="5" t="inlineStr">
        <is>
          <t>투자금</t>
        </is>
      </c>
      <c r="D26" s="67">
        <f>D24*D25</f>
        <v/>
      </c>
      <c r="E26" s="67">
        <f>E24*E25</f>
        <v/>
      </c>
      <c r="F26" s="67" t="n"/>
      <c r="G26" s="67">
        <f>G24*G25</f>
        <v/>
      </c>
      <c r="H26" s="67">
        <f>H24*H25</f>
        <v/>
      </c>
      <c r="I26" s="90">
        <f>SUM(D26:G26)</f>
        <v/>
      </c>
    </row>
    <row r="27"/>
    <row r="28">
      <c r="B28" s="91" t="inlineStr">
        <is>
          <t>배당,분배
(세후)</t>
        </is>
      </c>
      <c r="C28" s="14" t="n">
        <v>46161</v>
      </c>
      <c r="D28" s="67" t="n">
        <v>2549100</v>
      </c>
      <c r="E28" s="67" t="n">
        <v>100905</v>
      </c>
      <c r="F28" s="63" t="n"/>
      <c r="G28" s="14" t="n"/>
      <c r="H28" s="67" t="n"/>
      <c r="I28" s="92">
        <f>SUM(D28:H28)</f>
        <v/>
      </c>
    </row>
    <row r="29">
      <c r="B29" s="93" t="n"/>
      <c r="C29" s="47" t="n"/>
      <c r="D29" s="67" t="n"/>
      <c r="E29" s="67" t="n"/>
      <c r="F29" s="67" t="n"/>
      <c r="G29" s="67" t="n"/>
      <c r="H29" s="67" t="n"/>
      <c r="I29" s="92">
        <f>SUM(D29:H29)</f>
        <v/>
      </c>
    </row>
    <row r="30">
      <c r="D30" s="87" t="n"/>
      <c r="E30" s="87" t="n"/>
      <c r="F30" s="87" t="n"/>
      <c r="G30" s="87" t="n"/>
      <c r="H30" s="87" t="n"/>
    </row>
    <row r="31"/>
    <row r="32">
      <c r="E32" s="2" t="n"/>
    </row>
  </sheetData>
  <mergeCells count="8">
    <mergeCell ref="I2:I4"/>
    <mergeCell ref="B8:B11"/>
    <mergeCell ref="B12:B21"/>
    <mergeCell ref="B24:B26"/>
    <mergeCell ref="B2:B4"/>
    <mergeCell ref="B28:B29"/>
    <mergeCell ref="I24:I25"/>
    <mergeCell ref="B5:B7"/>
  </mergeCells>
  <conditionalFormatting sqref="D16:D17">
    <cfRule type="expression" priority="23" dxfId="0">
      <formula>#REF!+#REF!&gt;0</formula>
    </cfRule>
  </conditionalFormatting>
  <conditionalFormatting sqref="D18:D21">
    <cfRule type="expression" priority="31" dxfId="0">
      <formula>#REF!+#REF!&gt;0</formula>
    </cfRule>
  </conditionalFormatting>
  <conditionalFormatting sqref="D22:H23">
    <cfRule type="expression" priority="32" dxfId="0">
      <formula>B22+#REF!&gt;0</formula>
    </cfRule>
  </conditionalFormatting>
  <conditionalFormatting sqref="D13:I13">
    <cfRule type="expression" priority="12" dxfId="1" stopIfTrue="1">
      <formula>D13&gt;0</formula>
    </cfRule>
  </conditionalFormatting>
  <conditionalFormatting sqref="D13:I14">
    <cfRule type="expression" priority="10" dxfId="2">
      <formula>D13&lt;0</formula>
    </cfRule>
  </conditionalFormatting>
  <conditionalFormatting sqref="D14:I14">
    <cfRule type="expression" priority="11" dxfId="1">
      <formula>D14&gt;0</formula>
    </cfRule>
  </conditionalFormatting>
  <conditionalFormatting sqref="D15:I15">
    <cfRule type="expression" priority="9" dxfId="0">
      <formula>#REF!+C15&gt;0</formula>
    </cfRule>
  </conditionalFormatting>
  <conditionalFormatting sqref="E16:H17">
    <cfRule type="expression" priority="3" dxfId="0">
      <formula>C16+#REF!&gt;0</formula>
    </cfRule>
  </conditionalFormatting>
  <conditionalFormatting sqref="E18:H21">
    <cfRule type="expression" priority="4" dxfId="0">
      <formula>#REF!+#REF!&gt;0</formula>
    </cfRule>
  </conditionalFormatting>
  <conditionalFormatting sqref="I16:I23">
    <cfRule type="expression" priority="83" dxfId="0">
      <formula>G16+#REF!&gt;0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31"/>
  <sheetViews>
    <sheetView workbookViewId="0">
      <selection activeCell="E38" sqref="E38"/>
    </sheetView>
  </sheetViews>
  <sheetFormatPr baseColWidth="8" defaultRowHeight="17"/>
  <cols>
    <col width="3.33203125" customWidth="1" style="46" min="1" max="1"/>
    <col width="11" bestFit="1" customWidth="1" style="46" min="2" max="2"/>
    <col width="13" bestFit="1" customWidth="1" style="46" min="3" max="3"/>
    <col width="39" customWidth="1" style="46" min="4" max="4"/>
    <col width="36.6640625" customWidth="1" style="46" min="5" max="5"/>
    <col width="13.83203125" bestFit="1" customWidth="1" style="46" min="6" max="6"/>
    <col width="14.25" bestFit="1" customWidth="1" style="46" min="8" max="8"/>
    <col width="13.1640625" bestFit="1" customWidth="1" style="46" min="9" max="9"/>
  </cols>
  <sheetData>
    <row r="1" ht="17.5" customHeight="1" s="46"/>
    <row r="2">
      <c r="B2" s="51" t="inlineStr">
        <is>
          <t>ITEMs</t>
        </is>
      </c>
      <c r="C2" s="5" t="inlineStr">
        <is>
          <t>#</t>
        </is>
      </c>
      <c r="D2" s="4" t="n">
        <v>1</v>
      </c>
      <c r="E2" s="4" t="n">
        <v>2</v>
      </c>
      <c r="F2" s="47" t="inlineStr">
        <is>
          <t>합계</t>
        </is>
      </c>
    </row>
    <row r="3">
      <c r="B3" s="48" t="n"/>
      <c r="C3" s="5" t="inlineStr">
        <is>
          <t>코드</t>
        </is>
      </c>
      <c r="D3" s="10" t="inlineStr">
        <is>
          <t>494300</t>
        </is>
      </c>
      <c r="E3" s="10" t="n"/>
      <c r="F3" s="48" t="n"/>
    </row>
    <row r="4" ht="17.5" customHeight="1" s="46">
      <c r="B4" s="49" t="n"/>
      <c r="C4" s="5" t="inlineStr">
        <is>
          <t>종목</t>
        </is>
      </c>
      <c r="D4" s="6" t="inlineStr">
        <is>
          <t>KODEX 미국나스닥100데일리커버드콜OTM</t>
        </is>
      </c>
      <c r="E4" s="6" t="n"/>
      <c r="F4" s="49" t="n"/>
    </row>
    <row r="5">
      <c r="B5" s="51" t="inlineStr">
        <is>
          <t>Plane</t>
        </is>
      </c>
      <c r="C5" s="47" t="inlineStr">
        <is>
          <t>투자비중</t>
        </is>
      </c>
      <c r="D5" s="76" t="n">
        <v>1</v>
      </c>
      <c r="E5" s="76" t="n"/>
      <c r="F5" s="16">
        <f>SUM(A5:E5)</f>
        <v/>
      </c>
    </row>
    <row r="6" ht="17.5" customHeight="1" s="46">
      <c r="B6" s="48" t="n"/>
      <c r="C6" s="47" t="inlineStr">
        <is>
          <t>매수목표</t>
        </is>
      </c>
      <c r="D6" s="76" t="n">
        <v>0.9</v>
      </c>
      <c r="E6" s="76" t="n"/>
      <c r="F6" s="16" t="n"/>
    </row>
    <row r="7" ht="17.5" customHeight="1" s="46">
      <c r="B7" s="49" t="n"/>
      <c r="C7" s="47" t="inlineStr">
        <is>
          <t>투자한도</t>
        </is>
      </c>
      <c r="D7" s="77">
        <f>Assets!$E$4*(D5)*D6</f>
        <v/>
      </c>
      <c r="E7" s="77">
        <f>Assets!$E$4*(E5)*E6</f>
        <v/>
      </c>
      <c r="F7" s="73">
        <f>SUM(D7:E7)</f>
        <v/>
      </c>
    </row>
    <row r="8" ht="17.5" customHeight="1" s="46">
      <c r="B8" s="51" t="inlineStr">
        <is>
          <t>Investment</t>
        </is>
      </c>
      <c r="C8" s="79" t="inlineStr">
        <is>
          <t>보유량</t>
        </is>
      </c>
      <c r="D8" s="80" t="n">
        <v>9756</v>
      </c>
      <c r="E8" s="80" t="n"/>
      <c r="F8" s="62" t="n"/>
    </row>
    <row r="9" ht="17.5" customHeight="1" s="46">
      <c r="B9" s="48" t="n"/>
      <c r="C9" s="79" t="inlineStr">
        <is>
          <t>평균단가</t>
        </is>
      </c>
      <c r="D9" s="80" t="n">
        <v>9993</v>
      </c>
      <c r="E9" s="80" t="n"/>
      <c r="F9" s="62" t="n"/>
    </row>
    <row r="10" ht="17.5" customHeight="1" s="46">
      <c r="B10" s="48" t="n"/>
      <c r="C10" s="5" t="inlineStr">
        <is>
          <t>투자금</t>
        </is>
      </c>
      <c r="D10" s="77">
        <f>D9*D8</f>
        <v/>
      </c>
      <c r="E10" s="77">
        <f>E9*E8</f>
        <v/>
      </c>
      <c r="F10" s="73">
        <f>SUM(D10:E10)</f>
        <v/>
      </c>
    </row>
    <row r="11" ht="17.5" customHeight="1" s="46">
      <c r="B11" s="49" t="n"/>
      <c r="C11" s="47" t="inlineStr">
        <is>
          <t>비중</t>
        </is>
      </c>
      <c r="D11" s="81">
        <f>IFERROR(D10/$F$10, 0)</f>
        <v/>
      </c>
      <c r="E11" s="81">
        <f>IFERROR(E10/$F$10, 0)</f>
        <v/>
      </c>
      <c r="F11" s="82">
        <f>SUM(D11:E11)</f>
        <v/>
      </c>
    </row>
    <row r="12">
      <c r="B12" s="94" t="inlineStr">
        <is>
          <t>매매</t>
        </is>
      </c>
      <c r="C12" s="47" t="inlineStr">
        <is>
          <t>현재가</t>
        </is>
      </c>
      <c r="D12" s="84" t="n">
        <v>11245</v>
      </c>
      <c r="E12" s="85" t="n"/>
      <c r="F12" s="47" t="n"/>
    </row>
    <row r="13">
      <c r="B13" s="54" t="n"/>
      <c r="C13" s="5" t="inlineStr">
        <is>
          <t>수익률</t>
        </is>
      </c>
      <c r="D13" s="8">
        <f>IF(D9&gt;0, (D12-D9)/D9, 0)</f>
        <v/>
      </c>
      <c r="E13" s="8">
        <f>IF(E9&gt;0, (E12-E9)/E9, 0)</f>
        <v/>
      </c>
      <c r="F13" s="8">
        <f>IFERROR(F14/F10, 0)</f>
        <v/>
      </c>
    </row>
    <row r="14">
      <c r="B14" s="54" t="n"/>
      <c r="C14" s="47" t="inlineStr">
        <is>
          <t>수익</t>
        </is>
      </c>
      <c r="D14" s="86">
        <f>D10*D13</f>
        <v/>
      </c>
      <c r="E14" s="86">
        <f>E10*E13</f>
        <v/>
      </c>
      <c r="F14" s="86">
        <f>SUM(D14:E14)</f>
        <v/>
      </c>
    </row>
    <row r="15">
      <c r="B15" s="54" t="n"/>
      <c r="C15" s="47" t="inlineStr">
        <is>
          <t>추가매수(금액)</t>
        </is>
      </c>
      <c r="D15" s="86">
        <f>D7-D10</f>
        <v/>
      </c>
      <c r="E15" s="67">
        <f>E7-E10</f>
        <v/>
      </c>
      <c r="F15" s="67">
        <f>SUM(A15:D15)</f>
        <v/>
      </c>
    </row>
    <row r="16" ht="17.5" customHeight="1" s="46">
      <c r="B16" s="54" t="n"/>
      <c r="C16" s="47" t="inlineStr">
        <is>
          <t>추가매수(주)</t>
        </is>
      </c>
      <c r="D16" s="86">
        <f>IFERROR((D7-D10)/D12, 0)</f>
        <v/>
      </c>
      <c r="E16" s="86">
        <f>IFERROR((E7-E10)/E12, 0)</f>
        <v/>
      </c>
      <c r="F16" s="86">
        <f>IFERROR((F7-F10)/F12, 0)</f>
        <v/>
      </c>
    </row>
    <row r="17" ht="17.5" customFormat="1" customHeight="1" s="45">
      <c r="B17" s="54" t="n"/>
      <c r="C17" s="47" t="inlineStr">
        <is>
          <t>LONG/SHORT</t>
        </is>
      </c>
      <c r="D17" s="80" t="n">
        <v>1</v>
      </c>
      <c r="E17" s="80" t="n">
        <v>0</v>
      </c>
      <c r="F17" s="86" t="n"/>
    </row>
    <row r="18" ht="17.5" customFormat="1" customHeight="1" s="45">
      <c r="B18" s="54" t="n"/>
      <c r="C18" s="13" t="n">
        <v>0.4</v>
      </c>
      <c r="D18" s="67">
        <f>IF(D$17=1, D$16*Assets!$K3, -D$8*Assets!$K3)</f>
        <v/>
      </c>
      <c r="E18" s="67">
        <f>IF(E$17=1, E$16*Assets!$K3, -E$8*Assets!$K3)</f>
        <v/>
      </c>
      <c r="F18" s="86" t="n"/>
    </row>
    <row r="19" ht="17.5" customFormat="1" customHeight="1" s="45">
      <c r="B19" s="54" t="n"/>
      <c r="C19" s="13" t="n">
        <v>0.3</v>
      </c>
      <c r="D19" s="67">
        <f>IF(D$17=1, D$16*Assets!$K4, -D$8*Assets!$K4)</f>
        <v/>
      </c>
      <c r="E19" s="67">
        <f>IF(E$17=1, E$16*Assets!$K4, -E$8*Assets!$K4)</f>
        <v/>
      </c>
      <c r="F19" s="86" t="n"/>
    </row>
    <row r="20" ht="17.5" customFormat="1" customHeight="1" s="45">
      <c r="B20" s="54" t="n"/>
      <c r="C20" s="13" t="n">
        <v>0.2</v>
      </c>
      <c r="D20" s="67">
        <f>IF(D$17=1, D$16*Assets!$K5, -D$8*Assets!$K5)</f>
        <v/>
      </c>
      <c r="E20" s="67">
        <f>IF(E$17=1, E$16*Assets!$K5, -E$8*Assets!$K5)</f>
        <v/>
      </c>
      <c r="F20" s="86" t="n"/>
    </row>
    <row r="21" ht="17.5" customFormat="1" customHeight="1" s="45">
      <c r="B21" s="54" t="n"/>
      <c r="C21" s="13" t="n">
        <v>0.1</v>
      </c>
      <c r="D21" s="67">
        <f>IF(D$17=1, D$16*Assets!$K6, -D$8*Assets!$K6)</f>
        <v/>
      </c>
      <c r="E21" s="67">
        <f>IF(E$17=1, E$16*Assets!$K6, -E$8*Assets!$K6)</f>
        <v/>
      </c>
      <c r="F21" s="86" t="n"/>
    </row>
    <row r="22" ht="17.5" customFormat="1" customHeight="1" s="45">
      <c r="C22" s="9" t="n"/>
      <c r="D22" s="87">
        <f>D12*D18</f>
        <v/>
      </c>
      <c r="E22" s="88" t="n"/>
      <c r="F22" s="88" t="n"/>
    </row>
    <row r="23" ht="17.5" customFormat="1" customHeight="1" s="45">
      <c r="C23" s="9" t="n"/>
      <c r="D23" s="87" t="n"/>
      <c r="E23" s="88" t="n"/>
      <c r="F23" s="88" t="n"/>
    </row>
    <row r="24">
      <c r="B24" s="71" t="inlineStr">
        <is>
          <t>목표</t>
        </is>
      </c>
      <c r="C24" s="5" t="inlineStr">
        <is>
          <t>목표수량</t>
        </is>
      </c>
      <c r="D24" s="77">
        <f>D8+D16</f>
        <v/>
      </c>
      <c r="E24" s="77">
        <f>E8+E16</f>
        <v/>
      </c>
      <c r="F24" s="47" t="inlineStr">
        <is>
          <t>투자금 목표</t>
        </is>
      </c>
    </row>
    <row r="25">
      <c r="B25" s="48" t="n"/>
      <c r="C25" s="5" t="inlineStr">
        <is>
          <t>목표평단가</t>
        </is>
      </c>
      <c r="D25" s="89">
        <f>IF(D10&gt;0,(((D8*D9)+(D16*D12))/(D8+D16)),0)</f>
        <v/>
      </c>
      <c r="E25" s="89">
        <f>IF(E10&gt;0,(((E8*E9)+(E16*E12))/(E8+E16)),0)</f>
        <v/>
      </c>
      <c r="F25" s="49" t="n"/>
    </row>
    <row r="26" ht="17.5" customHeight="1" s="46">
      <c r="B26" s="49" t="n"/>
      <c r="C26" s="47" t="inlineStr">
        <is>
          <t>목표투자금</t>
        </is>
      </c>
      <c r="D26" s="95">
        <f>D24*D25</f>
        <v/>
      </c>
      <c r="E26" s="95">
        <f>E24*E25</f>
        <v/>
      </c>
      <c r="F26" s="90">
        <f>SUM(D26:E26)</f>
        <v/>
      </c>
    </row>
    <row r="27"/>
    <row r="28" ht="17" customHeight="1" s="46">
      <c r="B28" s="91" t="inlineStr">
        <is>
          <t>배당,분배
(세후)</t>
        </is>
      </c>
      <c r="C28" s="14" t="n">
        <v>46148</v>
      </c>
      <c r="D28" s="67" t="n">
        <v>1434641</v>
      </c>
      <c r="E28" s="67" t="n">
        <v>40664</v>
      </c>
      <c r="F28" s="92">
        <f>SUM(D28:E28)</f>
        <v/>
      </c>
      <c r="H28" s="18" t="n"/>
    </row>
    <row r="29">
      <c r="B29" s="93" t="n"/>
      <c r="C29" s="14" t="n">
        <v>46175</v>
      </c>
      <c r="D29" s="67" t="n">
        <v>1559376</v>
      </c>
      <c r="E29" s="67" t="n">
        <v>0</v>
      </c>
      <c r="F29" s="92">
        <f>SUM(D29:E29)</f>
        <v/>
      </c>
      <c r="H29" s="96" t="n"/>
      <c r="I29" s="96" t="n"/>
    </row>
    <row r="30">
      <c r="D30" s="87" t="n"/>
      <c r="H30" s="96" t="n"/>
      <c r="I30" s="96" t="n"/>
    </row>
    <row r="31">
      <c r="D31" s="87" t="n"/>
    </row>
  </sheetData>
  <mergeCells count="8">
    <mergeCell ref="B8:B11"/>
    <mergeCell ref="F2:F4"/>
    <mergeCell ref="B12:B21"/>
    <mergeCell ref="B24:B26"/>
    <mergeCell ref="B2:B4"/>
    <mergeCell ref="B28:B29"/>
    <mergeCell ref="F24:F25"/>
    <mergeCell ref="B5:B7"/>
  </mergeCells>
  <conditionalFormatting sqref="D17:D21">
    <cfRule type="expression" priority="2" dxfId="0">
      <formula>#REF!+#REF!&gt;0</formula>
    </cfRule>
  </conditionalFormatting>
  <conditionalFormatting sqref="D13:F13">
    <cfRule type="expression" priority="6" dxfId="1" stopIfTrue="1">
      <formula>D13&gt;0</formula>
    </cfRule>
  </conditionalFormatting>
  <conditionalFormatting sqref="D13:F14">
    <cfRule type="expression" priority="4" dxfId="2">
      <formula>D13&lt;0</formula>
    </cfRule>
  </conditionalFormatting>
  <conditionalFormatting sqref="D14:F14">
    <cfRule type="expression" priority="14" dxfId="1">
      <formula>D14&gt;0</formula>
    </cfRule>
  </conditionalFormatting>
  <conditionalFormatting sqref="D15:F15">
    <cfRule type="expression" priority="10" dxfId="0">
      <formula>#REF!+C15&gt;0</formula>
    </cfRule>
  </conditionalFormatting>
  <conditionalFormatting sqref="D16:F16 E22:F23 F17:F21">
    <cfRule type="expression" priority="9" dxfId="0">
      <formula>B16+#REF!&gt;0</formula>
    </cfRule>
  </conditionalFormatting>
  <conditionalFormatting sqref="E17">
    <cfRule type="expression" priority="3" dxfId="0">
      <formula>C17+#REF!&gt;0</formula>
    </cfRule>
  </conditionalFormatting>
  <conditionalFormatting sqref="E18:E21">
    <cfRule type="expression" priority="1" dxfId="0">
      <formula>#REF!+#REF!&gt;0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29"/>
  <sheetViews>
    <sheetView workbookViewId="0">
      <selection activeCell="D39" sqref="D39"/>
    </sheetView>
  </sheetViews>
  <sheetFormatPr baseColWidth="8" defaultRowHeight="17"/>
  <cols>
    <col width="3.6640625" customWidth="1" style="46" min="1" max="1"/>
    <col width="11" bestFit="1" customWidth="1" style="46" min="2" max="2"/>
    <col width="13" bestFit="1" customWidth="1" style="46" min="3" max="3"/>
    <col width="31.9140625" bestFit="1" customWidth="1" style="46" min="4" max="4"/>
    <col width="26.9140625" customWidth="1" style="46" min="5" max="5"/>
    <col width="12.6640625" bestFit="1" customWidth="1" style="46" min="6" max="6"/>
  </cols>
  <sheetData>
    <row r="1"/>
    <row r="2">
      <c r="B2" s="51" t="inlineStr">
        <is>
          <t>ITEMs</t>
        </is>
      </c>
      <c r="C2" s="5" t="inlineStr">
        <is>
          <t>#</t>
        </is>
      </c>
      <c r="D2" s="4" t="n">
        <v>1</v>
      </c>
      <c r="E2" s="4" t="n">
        <v>2</v>
      </c>
      <c r="F2" s="47" t="inlineStr">
        <is>
          <t>합계</t>
        </is>
      </c>
    </row>
    <row r="3">
      <c r="B3" s="48" t="n"/>
      <c r="C3" s="5" t="inlineStr">
        <is>
          <t>코드</t>
        </is>
      </c>
      <c r="D3" s="10" t="inlineStr">
        <is>
          <t>481060</t>
        </is>
      </c>
      <c r="E3" s="11" t="n"/>
      <c r="F3" s="48" t="n"/>
    </row>
    <row r="4">
      <c r="B4" s="49" t="n"/>
      <c r="C4" s="5" t="inlineStr">
        <is>
          <t>종목</t>
        </is>
      </c>
      <c r="D4" s="6" t="inlineStr">
        <is>
          <t>TIGER 단기채권액티브</t>
        </is>
      </c>
      <c r="E4" s="6" t="n"/>
      <c r="F4" s="49" t="n"/>
    </row>
    <row r="5">
      <c r="B5" s="51" t="inlineStr">
        <is>
          <t>Plane</t>
        </is>
      </c>
      <c r="C5" s="47" t="inlineStr">
        <is>
          <t>투자비중</t>
        </is>
      </c>
      <c r="D5" s="76" t="n">
        <v>1</v>
      </c>
      <c r="E5" s="76" t="n"/>
      <c r="F5" s="16">
        <f>SUM(A5:E5)</f>
        <v/>
      </c>
    </row>
    <row r="6">
      <c r="B6" s="48" t="n"/>
      <c r="C6" s="47" t="inlineStr">
        <is>
          <t>매수목표</t>
        </is>
      </c>
      <c r="D6" s="76" t="n">
        <v>1</v>
      </c>
      <c r="E6" s="76" t="n"/>
      <c r="F6" s="16" t="n"/>
    </row>
    <row r="7">
      <c r="B7" s="49" t="n"/>
      <c r="C7" s="47" t="inlineStr">
        <is>
          <t>투자한도</t>
        </is>
      </c>
      <c r="D7" s="77">
        <f>Assets!$E$5*(D5)*D6</f>
        <v/>
      </c>
      <c r="E7" s="77">
        <f>Assets!$E$3*(E5)*E6</f>
        <v/>
      </c>
      <c r="F7" s="73">
        <f>SUM(A7:D7)</f>
        <v/>
      </c>
    </row>
    <row r="8">
      <c r="B8" s="51" t="inlineStr">
        <is>
          <t>Investment</t>
        </is>
      </c>
      <c r="C8" s="79" t="inlineStr">
        <is>
          <t>보유량</t>
        </is>
      </c>
      <c r="D8" s="80" t="n">
        <v>1771</v>
      </c>
      <c r="E8" s="80" t="n"/>
      <c r="F8" s="62" t="n"/>
    </row>
    <row r="9">
      <c r="B9" s="48" t="n"/>
      <c r="C9" s="79" t="inlineStr">
        <is>
          <t>평균단가</t>
        </is>
      </c>
      <c r="D9" s="80" t="n">
        <v>7687</v>
      </c>
      <c r="E9" s="80" t="n"/>
      <c r="F9" s="62" t="n"/>
    </row>
    <row r="10">
      <c r="B10" s="48" t="n"/>
      <c r="C10" s="5" t="inlineStr">
        <is>
          <t>투자금</t>
        </is>
      </c>
      <c r="D10" s="77">
        <f>D9*D8</f>
        <v/>
      </c>
      <c r="E10" s="77">
        <f>E9*E8</f>
        <v/>
      </c>
      <c r="F10" s="73">
        <f>SUM(A10:D10)</f>
        <v/>
      </c>
    </row>
    <row r="11">
      <c r="B11" s="49" t="n"/>
      <c r="C11" s="47" t="inlineStr">
        <is>
          <t>비중</t>
        </is>
      </c>
      <c r="D11" s="81">
        <f>IFERROR(D10/$F$10, 0)</f>
        <v/>
      </c>
      <c r="E11" s="81">
        <f>IFERROR(E10/$F$10, 0)</f>
        <v/>
      </c>
      <c r="F11" s="82">
        <f>SUM(A11:D11)</f>
        <v/>
      </c>
    </row>
    <row r="12">
      <c r="B12" s="94" t="inlineStr">
        <is>
          <t>매매</t>
        </is>
      </c>
      <c r="C12" s="47" t="inlineStr">
        <is>
          <t>현재가</t>
        </is>
      </c>
      <c r="D12" s="84" t="n">
        <v>7820</v>
      </c>
      <c r="E12" s="97" t="n"/>
      <c r="F12" s="47" t="n"/>
    </row>
    <row r="13">
      <c r="B13" s="54" t="n"/>
      <c r="C13" s="5" t="inlineStr">
        <is>
          <t>수익률</t>
        </is>
      </c>
      <c r="D13" s="8">
        <f>IF(D9&gt;0, (D12-D9)/D9, 0)</f>
        <v/>
      </c>
      <c r="E13" s="8">
        <f>IF(E9&gt;0, (E12-E9)/E9, 0)</f>
        <v/>
      </c>
      <c r="F13" s="8">
        <f>IFERROR(F14/F10, 0)</f>
        <v/>
      </c>
    </row>
    <row r="14">
      <c r="B14" s="54" t="n"/>
      <c r="C14" s="47" t="inlineStr">
        <is>
          <t>수익</t>
        </is>
      </c>
      <c r="D14" s="86">
        <f>D10*D13</f>
        <v/>
      </c>
      <c r="E14" s="86">
        <f>E10*E13</f>
        <v/>
      </c>
      <c r="F14" s="86">
        <f>SUM(A14:D14)</f>
        <v/>
      </c>
    </row>
    <row r="15">
      <c r="B15" s="54" t="n"/>
      <c r="C15" s="47" t="inlineStr">
        <is>
          <t>매수한도</t>
        </is>
      </c>
      <c r="D15" s="67">
        <f>D7-D10</f>
        <v/>
      </c>
      <c r="E15" s="67">
        <f>E7-E10</f>
        <v/>
      </c>
      <c r="F15" s="67">
        <f>SUM(A15:D15)</f>
        <v/>
      </c>
    </row>
    <row r="16">
      <c r="B16" s="54" t="n"/>
      <c r="C16" s="47" t="inlineStr">
        <is>
          <t>추가매수</t>
        </is>
      </c>
      <c r="D16" s="86">
        <f>IFERROR((D7-D10)/D12, 0)</f>
        <v/>
      </c>
      <c r="E16" s="86">
        <f>IFERROR((E7-E10)/E12, 0)</f>
        <v/>
      </c>
      <c r="F16" s="86">
        <f>IFERROR((F7-F10)/F12, 0)</f>
        <v/>
      </c>
    </row>
    <row r="17" customFormat="1" s="45">
      <c r="B17" s="54" t="n"/>
      <c r="C17" s="47" t="inlineStr">
        <is>
          <t>LONG/SHORT</t>
        </is>
      </c>
      <c r="D17" s="80" t="n">
        <v>1</v>
      </c>
      <c r="E17" s="80" t="n">
        <v>1</v>
      </c>
      <c r="F17" s="86" t="n"/>
    </row>
    <row r="18" customFormat="1" s="45">
      <c r="B18" s="54" t="n"/>
      <c r="C18" s="13" t="n">
        <v>0.4</v>
      </c>
      <c r="D18" s="67">
        <f>IF(D$17=1, D$16*Assets!$K3, -D$8*Assets!$K3)</f>
        <v/>
      </c>
      <c r="E18" s="67">
        <f>IF(E$17=1, E$16*Assets!$K3, -E$8*Assets!$K3)</f>
        <v/>
      </c>
      <c r="F18" s="86" t="n"/>
    </row>
    <row r="19" customFormat="1" s="45">
      <c r="B19" s="54" t="n"/>
      <c r="C19" s="13" t="n">
        <v>0.3</v>
      </c>
      <c r="D19" s="67">
        <f>IF(D$17=1, D$16*Assets!$K4, -D$8*Assets!$K4)</f>
        <v/>
      </c>
      <c r="E19" s="67">
        <f>IF(E$17=1, E$16*Assets!$K4, -E$8*Assets!$K4)</f>
        <v/>
      </c>
      <c r="F19" s="86" t="n"/>
    </row>
    <row r="20" customFormat="1" s="45">
      <c r="B20" s="54" t="n"/>
      <c r="C20" s="13" t="n">
        <v>0.2</v>
      </c>
      <c r="D20" s="67">
        <f>IF(D$17=1, D$16*Assets!$K5, -D$8*Assets!$K5)</f>
        <v/>
      </c>
      <c r="E20" s="67">
        <f>IF(E$17=1, E$16*Assets!$K5, -E$8*Assets!$K5)</f>
        <v/>
      </c>
      <c r="F20" s="86" t="n"/>
    </row>
    <row r="21" customFormat="1" s="45">
      <c r="B21" s="54" t="n"/>
      <c r="C21" s="13" t="n">
        <v>0.1</v>
      </c>
      <c r="D21" s="67">
        <f>IF(D$17=1, D$16*Assets!$K6, -D$8*Assets!$K6)</f>
        <v/>
      </c>
      <c r="E21" s="67">
        <f>IF(E$17=1, E$16*Assets!$K6, -E$8*Assets!$K6)</f>
        <v/>
      </c>
      <c r="F21" s="86" t="n"/>
    </row>
    <row r="22" customFormat="1" s="45">
      <c r="C22" s="9" t="n"/>
      <c r="D22" s="87">
        <f>D12*D18</f>
        <v/>
      </c>
      <c r="E22" s="88" t="n"/>
      <c r="F22" s="88" t="n"/>
    </row>
    <row r="23" customFormat="1" s="45">
      <c r="C23" s="9" t="n"/>
      <c r="D23" s="88" t="n"/>
      <c r="E23" s="88" t="n"/>
      <c r="F23" s="88" t="n"/>
    </row>
    <row r="24">
      <c r="B24" s="71" t="inlineStr">
        <is>
          <t>목표</t>
        </is>
      </c>
      <c r="C24" s="5" t="inlineStr">
        <is>
          <t>목표수량</t>
        </is>
      </c>
      <c r="D24" s="77">
        <f>D8+D16</f>
        <v/>
      </c>
      <c r="E24" s="77">
        <f>E8+E16</f>
        <v/>
      </c>
      <c r="F24" s="47" t="inlineStr">
        <is>
          <t>투자금 목표</t>
        </is>
      </c>
    </row>
    <row r="25">
      <c r="B25" s="48" t="n"/>
      <c r="C25" s="5" t="inlineStr">
        <is>
          <t>목표평단가</t>
        </is>
      </c>
      <c r="D25" s="89">
        <f>IF(D10&gt;0,(((D8*D9)+(D16*D12))/(D8+D16)),0)</f>
        <v/>
      </c>
      <c r="E25" s="89">
        <f>IF(E10&gt;0,(((E8*E9)+(E16*E12))/(E8+E16)),0)</f>
        <v/>
      </c>
      <c r="F25" s="49" t="n"/>
    </row>
    <row r="26">
      <c r="B26" s="49" t="n"/>
      <c r="C26" s="47" t="inlineStr">
        <is>
          <t>목표투자금</t>
        </is>
      </c>
      <c r="D26" s="95">
        <f>D24*D25</f>
        <v/>
      </c>
      <c r="E26" s="95">
        <f>E24*E25</f>
        <v/>
      </c>
      <c r="F26" s="90">
        <f>SUM(A26:D26)</f>
        <v/>
      </c>
    </row>
    <row r="27"/>
    <row r="28">
      <c r="B28" s="91" t="inlineStr">
        <is>
          <t>배당,분배
(세후)</t>
        </is>
      </c>
      <c r="C28" s="14" t="n">
        <v>46161</v>
      </c>
      <c r="D28" s="67" t="n">
        <v>136591</v>
      </c>
      <c r="E28" s="14" t="n"/>
      <c r="F28" s="92">
        <f>SUM(D28:E28)</f>
        <v/>
      </c>
    </row>
    <row r="29">
      <c r="B29" s="93" t="n"/>
      <c r="C29" s="47" t="n"/>
      <c r="D29" s="67" t="n"/>
      <c r="E29" s="67" t="n"/>
      <c r="F29" s="98">
        <f>SUM(D29:E29)</f>
        <v/>
      </c>
    </row>
  </sheetData>
  <mergeCells count="8">
    <mergeCell ref="B8:B11"/>
    <mergeCell ref="F2:F4"/>
    <mergeCell ref="B12:B21"/>
    <mergeCell ref="B24:B26"/>
    <mergeCell ref="B2:B4"/>
    <mergeCell ref="B28:B29"/>
    <mergeCell ref="F24:F25"/>
    <mergeCell ref="B5:B7"/>
  </mergeCells>
  <conditionalFormatting sqref="D17:D21">
    <cfRule type="expression" priority="2" dxfId="0">
      <formula>#REF!+#REF!&gt;0</formula>
    </cfRule>
  </conditionalFormatting>
  <conditionalFormatting sqref="D13:E13">
    <cfRule type="expression" priority="16" dxfId="1" stopIfTrue="1">
      <formula>D13&gt;0</formula>
    </cfRule>
  </conditionalFormatting>
  <conditionalFormatting sqref="D13:E14">
    <cfRule type="expression" priority="13" dxfId="2">
      <formula>D13&lt;0</formula>
    </cfRule>
  </conditionalFormatting>
  <conditionalFormatting sqref="D14:E14">
    <cfRule type="expression" priority="14" dxfId="1">
      <formula>D14&gt;0</formula>
    </cfRule>
  </conditionalFormatting>
  <conditionalFormatting sqref="D15:F15">
    <cfRule type="expression" priority="10" dxfId="0">
      <formula>#REF!+C15&gt;0</formula>
    </cfRule>
  </conditionalFormatting>
  <conditionalFormatting sqref="D16:F16 D22:F23">
    <cfRule type="expression" priority="9" dxfId="0">
      <formula>B16+#REF!&gt;0</formula>
    </cfRule>
  </conditionalFormatting>
  <conditionalFormatting sqref="E17">
    <cfRule type="expression" priority="3" dxfId="0">
      <formula>C17+#REF!&gt;0</formula>
    </cfRule>
  </conditionalFormatting>
  <conditionalFormatting sqref="E18:E21">
    <cfRule type="expression" priority="1" dxfId="0">
      <formula>#REF!+#REF!&gt;0</formula>
    </cfRule>
  </conditionalFormatting>
  <conditionalFormatting sqref="F13">
    <cfRule type="expression" priority="5" dxfId="2">
      <formula>F13&lt;0</formula>
    </cfRule>
    <cfRule type="expression" priority="6" dxfId="1" stopIfTrue="1">
      <formula>F13&gt;0</formula>
    </cfRule>
  </conditionalFormatting>
  <conditionalFormatting sqref="F14">
    <cfRule type="expression" priority="7" dxfId="2">
      <formula>E14&lt;0</formula>
    </cfRule>
    <cfRule type="expression" priority="8" dxfId="1">
      <formula>E14&gt;0</formula>
    </cfRule>
  </conditionalFormatting>
  <conditionalFormatting sqref="F17:F21">
    <cfRule type="expression" priority="4" dxfId="0">
      <formula>D17+#REF!&gt;0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TAEHO HWANG</dc:creator>
  <dcterms:created xmlns:dcterms="http://purl.org/dc/terms/" xmlns:xsi="http://www.w3.org/2001/XMLSchema-instance" xsi:type="dcterms:W3CDTF">2020-03-30T01:06:52Z</dcterms:created>
  <dcterms:modified xmlns:dcterms="http://purl.org/dc/terms/" xmlns:xsi="http://www.w3.org/2001/XMLSchema-instance" xsi:type="dcterms:W3CDTF">2026-06-05T11:05:06Z</dcterms:modified>
  <cp:lastModifiedBy>TAEHO HWANG</cp:lastModifiedBy>
  <cp:version>1300.0100.01</cp:version>
  <cp:revision>2</cp:revision>
  <cp:lastPrinted>2026-01-22T00:39:54Z</cp:lastPrinted>
</cp:coreProperties>
</file>