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794859F4-FAE8-4014-B770-33D41CBC8598}" xr6:coauthVersionLast="47" xr6:coauthVersionMax="47" xr10:uidLastSave="{00000000-0000-0000-0000-000000000000}"/>
  <bookViews>
    <workbookView xWindow="7720" yWindow="760" windowWidth="24020" windowHeight="18770" tabRatio="661" activeTab="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4" l="1"/>
  <c r="F29" i="4"/>
  <c r="I29" i="2"/>
  <c r="F29" i="3"/>
  <c r="F28" i="3"/>
  <c r="F13" i="2"/>
  <c r="F10" i="2"/>
  <c r="I28" i="2"/>
  <c r="C22" i="1" s="1"/>
  <c r="E13" i="2"/>
  <c r="E10" i="2"/>
  <c r="C23" i="1" l="1"/>
  <c r="C20" i="1" s="1"/>
  <c r="F14" i="2"/>
  <c r="E14" i="2"/>
  <c r="H13" i="2"/>
  <c r="H10" i="2"/>
  <c r="E13" i="4"/>
  <c r="D13" i="4"/>
  <c r="E10" i="4"/>
  <c r="E25" i="4" s="1"/>
  <c r="D10" i="4"/>
  <c r="D14" i="4" s="1"/>
  <c r="F14" i="4" s="1"/>
  <c r="F5" i="4"/>
  <c r="E13" i="3"/>
  <c r="D13" i="3"/>
  <c r="E10" i="3"/>
  <c r="D10" i="3"/>
  <c r="F5" i="3"/>
  <c r="G13" i="2"/>
  <c r="D13" i="2"/>
  <c r="G10" i="2"/>
  <c r="I10" i="2" s="1"/>
  <c r="D11" i="2" s="1"/>
  <c r="D10" i="2"/>
  <c r="I5" i="2"/>
  <c r="C8" i="1"/>
  <c r="G14" i="2" l="1"/>
  <c r="F11" i="2"/>
  <c r="F10" i="4"/>
  <c r="F5" i="1" s="1"/>
  <c r="E14" i="4"/>
  <c r="H14" i="2"/>
  <c r="E14" i="3"/>
  <c r="E11" i="2"/>
  <c r="D14" i="2"/>
  <c r="D14" i="3"/>
  <c r="F14" i="3" s="1"/>
  <c r="I4" i="1" s="1"/>
  <c r="C4" i="1" s="1"/>
  <c r="E4" i="1" s="1"/>
  <c r="D7" i="3" s="1"/>
  <c r="H11" i="2"/>
  <c r="F10" i="3"/>
  <c r="E11" i="3" s="1"/>
  <c r="I14" i="2"/>
  <c r="I5" i="1"/>
  <c r="C5" i="1" s="1"/>
  <c r="E5" i="1" s="1"/>
  <c r="D7" i="4" s="1"/>
  <c r="F13" i="4"/>
  <c r="G11" i="2"/>
  <c r="D11" i="4"/>
  <c r="F11" i="4" s="1"/>
  <c r="F3" i="1"/>
  <c r="E11" i="4"/>
  <c r="E25" i="3"/>
  <c r="D11" i="3" l="1"/>
  <c r="F11" i="3" s="1"/>
  <c r="F13" i="3"/>
  <c r="F4" i="1"/>
  <c r="C14" i="1" s="1"/>
  <c r="I11" i="2"/>
  <c r="I3" i="1"/>
  <c r="I13" i="2"/>
  <c r="D15" i="4"/>
  <c r="F15" i="4" s="1"/>
  <c r="F7" i="4"/>
  <c r="F16" i="4" s="1"/>
  <c r="D16" i="4"/>
  <c r="E7" i="3"/>
  <c r="E15" i="3" l="1"/>
  <c r="E16" i="3"/>
  <c r="D16" i="3"/>
  <c r="D15" i="3"/>
  <c r="F15" i="3" s="1"/>
  <c r="F7" i="3"/>
  <c r="F16" i="3" s="1"/>
  <c r="D24" i="4"/>
  <c r="D21" i="4"/>
  <c r="D20" i="4"/>
  <c r="D19" i="4"/>
  <c r="D18" i="4"/>
  <c r="D22" i="4" s="1"/>
  <c r="D25" i="4"/>
  <c r="C3" i="1"/>
  <c r="C17" i="1"/>
  <c r="B17" i="1" l="1"/>
  <c r="E3" i="1"/>
  <c r="C11" i="1"/>
  <c r="B14" i="1" s="1"/>
  <c r="D26" i="4"/>
  <c r="F26" i="4" s="1"/>
  <c r="D24" i="3"/>
  <c r="D21" i="3"/>
  <c r="D20" i="3"/>
  <c r="D19" i="3"/>
  <c r="D18" i="3"/>
  <c r="D22" i="3" s="1"/>
  <c r="D25" i="3"/>
  <c r="E24" i="3"/>
  <c r="E26" i="3" s="1"/>
  <c r="E21" i="3"/>
  <c r="E20" i="3"/>
  <c r="E19" i="3"/>
  <c r="E18" i="3"/>
  <c r="E7" i="2" l="1"/>
  <c r="E16" i="2" s="1"/>
  <c r="F7" i="2"/>
  <c r="H7" i="2"/>
  <c r="D26" i="3"/>
  <c r="F26" i="3" s="1"/>
  <c r="G7" i="2"/>
  <c r="D7" i="2"/>
  <c r="E7" i="4"/>
  <c r="B8" i="1"/>
  <c r="E15" i="2" l="1"/>
  <c r="F16" i="2"/>
  <c r="F15" i="2"/>
  <c r="E18" i="2"/>
  <c r="E22" i="2" s="1"/>
  <c r="E19" i="2"/>
  <c r="E24" i="2"/>
  <c r="E21" i="2"/>
  <c r="E20" i="2"/>
  <c r="E25" i="2"/>
  <c r="H16" i="2"/>
  <c r="H15" i="2"/>
  <c r="E15" i="4"/>
  <c r="E16" i="4"/>
  <c r="D15" i="2"/>
  <c r="I7" i="2"/>
  <c r="I16" i="2" s="1"/>
  <c r="D16" i="2"/>
  <c r="G15" i="2"/>
  <c r="G16" i="2"/>
  <c r="F21" i="2" l="1"/>
  <c r="F19" i="2"/>
  <c r="F20" i="2"/>
  <c r="F18" i="2"/>
  <c r="F22" i="2" s="1"/>
  <c r="E26" i="2"/>
  <c r="H21" i="2"/>
  <c r="H20" i="2"/>
  <c r="H19" i="2"/>
  <c r="H18" i="2"/>
  <c r="H25" i="2"/>
  <c r="H24" i="2"/>
  <c r="D21" i="2"/>
  <c r="D20" i="2"/>
  <c r="D19" i="2"/>
  <c r="D18" i="2"/>
  <c r="D24" i="2"/>
  <c r="D25" i="2"/>
  <c r="I15" i="2"/>
  <c r="G20" i="2"/>
  <c r="G21" i="2"/>
  <c r="G19" i="2"/>
  <c r="G18" i="2"/>
  <c r="G24" i="2"/>
  <c r="G25" i="2"/>
  <c r="E24" i="4"/>
  <c r="E26" i="4" s="1"/>
  <c r="E21" i="4"/>
  <c r="E20" i="4"/>
  <c r="E19" i="4"/>
  <c r="E18" i="4"/>
  <c r="H22" i="2" l="1"/>
  <c r="G22" i="2"/>
  <c r="D22" i="2"/>
  <c r="H26" i="2"/>
  <c r="G26" i="2"/>
  <c r="D26" i="2"/>
  <c r="I26" i="2" l="1"/>
</calcChain>
</file>

<file path=xl/sharedStrings.xml><?xml version="1.0" encoding="utf-8"?>
<sst xmlns="http://schemas.openxmlformats.org/spreadsheetml/2006/main" count="110" uniqueCount="58">
  <si>
    <t>투자원금</t>
  </si>
  <si>
    <t>현금보유비중</t>
  </si>
  <si>
    <t>투자가능금액</t>
  </si>
  <si>
    <t>투자금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</si>
  <si>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</si>
  <si>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</si>
  <si>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</si>
  <si>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</si>
  <si>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</si>
  <si>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</si>
  <si>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</si>
  <si>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</si>
  <si>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</si>
  <si>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</si>
  <si>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ITEMs</t>
  </si>
  <si>
    <t>#</t>
  </si>
  <si>
    <t>합계</t>
  </si>
  <si>
    <t>코드</t>
  </si>
  <si>
    <t>498400</t>
  </si>
  <si>
    <t>091160</t>
  </si>
  <si>
    <t>091180</t>
  </si>
  <si>
    <t>종목</t>
  </si>
  <si>
    <t>KODEX 200타겟위클리커버드콜</t>
  </si>
  <si>
    <t>KODEX 반도체</t>
  </si>
  <si>
    <t>KODEX 자동차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</si>
  <si>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</si>
  <si>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</si>
  <si>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</si>
  <si>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</si>
  <si>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</si>
  <si>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</si>
  <si>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</si>
  <si>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비중</t>
  </si>
  <si>
    <t>매매</t>
  </si>
  <si>
    <t>현재가</t>
  </si>
  <si>
    <t>수익률</t>
  </si>
  <si>
    <t>수익</t>
  </si>
  <si>
    <t>추가매수</t>
  </si>
  <si>
    <t>LONG/SHORT</t>
  </si>
  <si>
    <t>목표</t>
  </si>
  <si>
    <t>목표수량</t>
  </si>
  <si>
    <t>투자금 목표</t>
  </si>
  <si>
    <t>목표평단가</t>
  </si>
  <si>
    <t>494300</t>
  </si>
  <si>
    <t>KODEX 미국나스닥100데일리커버드콜OTM</t>
  </si>
  <si>
    <t>Plane</t>
  </si>
  <si>
    <t>투자한도</t>
  </si>
  <si>
    <t>매수한도</t>
  </si>
  <si>
    <t>목표투자금</t>
  </si>
  <si>
    <t>481060</t>
  </si>
  <si>
    <t>TIGER 단기채권액티브</t>
  </si>
  <si>
    <t>배당,분배
(세후)</t>
    <phoneticPr fontId="4" type="noConversion"/>
  </si>
  <si>
    <t>합계</t>
    <phoneticPr fontId="4" type="noConversion"/>
  </si>
  <si>
    <t>278530</t>
    <phoneticPr fontId="4" type="noConversion"/>
  </si>
  <si>
    <t>KODEX 200TR</t>
    <phoneticPr fontId="4" type="noConversion"/>
  </si>
  <si>
    <t>추가매수(주)</t>
    <phoneticPr fontId="4" type="noConversion"/>
  </si>
  <si>
    <t>추가매수(금액)</t>
    <phoneticPr fontId="4" type="noConversion"/>
  </si>
  <si>
    <t>평가손익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</si>
</sst>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0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67">
    <xf numFmtId="0" fontId="0" fillId="0" borderId="0" xfId="0" applyAlignment="1">
      <alignment vertical="center"/>
    </xf>
    <xf numFmtId="9" fontId="0" fillId="0" borderId="1" xfId="0" applyNumberFormat="1" applyBorder="1" applyAlignme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0" fontId="0" fillId="0" borderId="1" xfId="0" applyBorder="1" applyAlignment="1"/>
    <xf numFmtId="9" fontId="3" fillId="0" borderId="1" xfId="1" applyBorder="1" applyAlignment="1">
      <alignment vertical="center"/>
    </xf>
    <xf numFmtId="10" fontId="3" fillId="0" borderId="1" xfId="1" applyNumberFormat="1" applyBorder="1" applyAlignment="1">
      <alignment vertical="center"/>
    </xf>
    <xf numFmtId="10" fontId="3" fillId="0" borderId="0" xfId="1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0" xfId="0" applyNumberFormat="1" applyFont="1" applyAlignment="1"/>
    <xf numFmtId="176" fontId="2" fillId="2" borderId="1" xfId="1" applyNumberFormat="1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3" fillId="0" borderId="1" xfId="0" applyNumberFormat="1" applyFont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176" fontId="3" fillId="0" borderId="1" xfId="1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41" fontId="9" fillId="2" borderId="1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0" xfId="2" applyFont="1" applyAlignment="1">
      <alignment vertical="center"/>
    </xf>
    <xf numFmtId="41" fontId="3" fillId="0" borderId="1" xfId="2" applyBorder="1" applyAlignment="1">
      <alignment horizontal="center" vertical="center"/>
    </xf>
    <xf numFmtId="41" fontId="0" fillId="0" borderId="1" xfId="0" applyNumberFormat="1" applyBorder="1" applyAlignment="1">
      <alignment vertical="center"/>
    </xf>
    <xf numFmtId="41" fontId="0" fillId="0" borderId="1" xfId="0" applyNumberFormat="1" applyBorder="1" applyAlignment="1"/>
    <xf numFmtId="41" fontId="3" fillId="0" borderId="0" xfId="2" applyAlignment="1">
      <alignment vertical="center"/>
    </xf>
    <xf numFmtId="41" fontId="0" fillId="0" borderId="1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41" fontId="8" fillId="2" borderId="1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41" fontId="7" fillId="4" borderId="1" xfId="2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1" fontId="7" fillId="4" borderId="4" xfId="2" applyFont="1" applyFill="1" applyBorder="1" applyAlignment="1">
      <alignment horizontal="center" vertical="center"/>
    </xf>
    <xf numFmtId="41" fontId="7" fillId="4" borderId="5" xfId="2" applyFont="1" applyFill="1" applyBorder="1" applyAlignment="1">
      <alignment horizontal="center" vertical="center"/>
    </xf>
    <xf numFmtId="0" fontId="0" fillId="0" borderId="6" xfId="0" applyBorder="1" applyAlignment="1"/>
    <xf numFmtId="41" fontId="3" fillId="0" borderId="0" xfId="2">
      <alignment vertical="center"/>
    </xf>
    <xf numFmtId="41" fontId="3" fillId="0" borderId="1" xfId="2" applyBorder="1">
      <alignment vertical="center"/>
    </xf>
    <xf numFmtId="41" fontId="3" fillId="0" borderId="0" xfId="2" applyFont="1" applyAlignment="1">
      <alignment vertical="center"/>
    </xf>
    <xf numFmtId="41" fontId="3" fillId="0" borderId="1" xfId="1" applyNumberFormat="1" applyBorder="1" applyAlignment="1">
      <alignment vertical="center"/>
    </xf>
    <xf numFmtId="17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41" fontId="2" fillId="0" borderId="1" xfId="0" applyNumberFormat="1" applyFont="1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/>
    <xf numFmtId="17" fontId="0" fillId="0" borderId="1" xfId="0" applyNumberFormat="1" applyBorder="1" applyAlignment="1"/>
    <xf numFmtId="41" fontId="7" fillId="4" borderId="6" xfId="2" applyFont="1" applyFill="1" applyBorder="1" applyAlignment="1">
      <alignment horizontal="center" vertical="center" wrapText="1"/>
    </xf>
    <xf numFmtId="41" fontId="7" fillId="4" borderId="7" xfId="2" applyFont="1" applyFill="1" applyBorder="1" applyAlignment="1">
      <alignment horizontal="center" vertical="center" wrapText="1"/>
    </xf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5"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G25" sqref="G25"/>
    </sheetView>
  </sheetViews>
  <sheetFormatPr defaultRowHeight="17" x14ac:dyDescent="0.45"/>
  <cols>
    <col min="2" max="2" width="14.25" style="20" bestFit="1" customWidth="1"/>
    <col min="3" max="3" width="17.4140625" style="20" customWidth="1"/>
    <col min="4" max="4" width="15.58203125" style="20" bestFit="1" customWidth="1"/>
    <col min="5" max="5" width="15.58203125" style="20" customWidth="1"/>
    <col min="6" max="7" width="14.25" style="20" bestFit="1" customWidth="1"/>
    <col min="8" max="8" width="14.25" style="20" hidden="1" customWidth="1"/>
    <col min="9" max="9" width="12.6640625" style="20" bestFit="1" customWidth="1"/>
    <col min="10" max="10" width="2.4140625" style="20" customWidth="1"/>
  </cols>
  <sheetData>
    <row r="1" spans="1:11" s="19" customFormat="1" x14ac:dyDescent="0.45"/>
    <row r="2" spans="1:11" x14ac:dyDescent="0.45">
      <c r="B2" s="5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K2" s="12" t="s">
        <v>7</v>
      </c>
    </row>
    <row r="3" spans="1:11" x14ac:dyDescent="0.45">
      <c r="B3" s="3" t="s">
        <v>8</v>
      </c>
      <c r="C3" s="22">
        <f>G3-I3</f>
        <v>1204558926</v>
      </c>
      <c r="D3" s="1">
        <v>0</v>
      </c>
      <c r="E3" s="22">
        <f>C3*(1-D3)</f>
        <v>1204558926</v>
      </c>
      <c r="F3" s="22">
        <f>CMA!I10</f>
        <v>289287262</v>
      </c>
      <c r="G3" s="23">
        <v>1317442484</v>
      </c>
      <c r="H3" s="23"/>
      <c r="I3" s="24">
        <f>CMA!I14</f>
        <v>112883558</v>
      </c>
      <c r="K3" s="16">
        <v>0.4</v>
      </c>
    </row>
    <row r="4" spans="1:11" x14ac:dyDescent="0.45">
      <c r="B4" s="3" t="s">
        <v>9</v>
      </c>
      <c r="C4" s="22">
        <f>G4-I4</f>
        <v>127633353</v>
      </c>
      <c r="D4" s="1">
        <v>0</v>
      </c>
      <c r="E4" s="22">
        <f>C4*(1-D4)</f>
        <v>127633353</v>
      </c>
      <c r="F4" s="22">
        <f>개인연금!F10</f>
        <v>97491708</v>
      </c>
      <c r="G4" s="23">
        <v>138872265</v>
      </c>
      <c r="H4" s="23">
        <v>0</v>
      </c>
      <c r="I4" s="24">
        <f>개인연금!F14+H4</f>
        <v>11238912</v>
      </c>
      <c r="K4" s="16">
        <v>0.3</v>
      </c>
    </row>
    <row r="5" spans="1:11" x14ac:dyDescent="0.45">
      <c r="B5" s="3" t="s">
        <v>10</v>
      </c>
      <c r="C5" s="22">
        <f>G5-I5</f>
        <v>13627227</v>
      </c>
      <c r="D5" s="1">
        <v>0</v>
      </c>
      <c r="E5" s="22">
        <f>C5*(1-D5)</f>
        <v>13627227</v>
      </c>
      <c r="F5" s="22">
        <f>퇴직연금!F10</f>
        <v>13613677</v>
      </c>
      <c r="G5" s="23">
        <v>13800785</v>
      </c>
      <c r="H5" s="23">
        <v>0</v>
      </c>
      <c r="I5" s="24">
        <f>퇴직연금!F14+H5</f>
        <v>173558</v>
      </c>
      <c r="K5" s="16">
        <v>0.2</v>
      </c>
    </row>
    <row r="6" spans="1:11" x14ac:dyDescent="0.45">
      <c r="F6" s="25"/>
      <c r="G6" s="25"/>
      <c r="I6" s="25"/>
      <c r="K6" s="16">
        <v>0.1</v>
      </c>
    </row>
    <row r="7" spans="1:11" x14ac:dyDescent="0.45">
      <c r="B7" s="50" t="s">
        <v>11</v>
      </c>
      <c r="C7" s="63"/>
    </row>
    <row r="8" spans="1:11" x14ac:dyDescent="0.45">
      <c r="A8" s="19"/>
      <c r="B8" s="17">
        <f>C17/C11</f>
        <v>9.2357130689410594E-2</v>
      </c>
      <c r="C8" s="32">
        <f>SUM(G3,G4,G5)</f>
        <v>1470115534</v>
      </c>
    </row>
    <row r="10" spans="1:11" x14ac:dyDescent="0.45">
      <c r="A10" s="19"/>
      <c r="B10" s="50" t="s">
        <v>12</v>
      </c>
      <c r="C10" s="63"/>
    </row>
    <row r="11" spans="1:11" s="19" customFormat="1" x14ac:dyDescent="0.45">
      <c r="B11" s="12"/>
      <c r="C11" s="32">
        <f>SUM(C3,C4,C5)</f>
        <v>1345819506</v>
      </c>
    </row>
    <row r="12" spans="1:11" x14ac:dyDescent="0.45">
      <c r="A12" s="19"/>
    </row>
    <row r="13" spans="1:11" s="19" customFormat="1" x14ac:dyDescent="0.45">
      <c r="B13" s="50" t="s">
        <v>3</v>
      </c>
      <c r="C13" s="62"/>
    </row>
    <row r="14" spans="1:11" s="19" customFormat="1" x14ac:dyDescent="0.45">
      <c r="B14" s="17">
        <f>C14/C11</f>
        <v>0.29750842903892344</v>
      </c>
      <c r="C14" s="61">
        <f>SUM(F3:F5)</f>
        <v>400392647</v>
      </c>
    </row>
    <row r="15" spans="1:11" s="19" customFormat="1" x14ac:dyDescent="0.45"/>
    <row r="16" spans="1:11" s="19" customFormat="1" x14ac:dyDescent="0.45">
      <c r="B16" s="50" t="s">
        <v>57</v>
      </c>
      <c r="C16" s="62"/>
    </row>
    <row r="17" spans="2:4" s="19" customFormat="1" x14ac:dyDescent="0.45">
      <c r="B17" s="17">
        <f>C17/C14</f>
        <v>0.31043534123642386</v>
      </c>
      <c r="C17" s="32">
        <f>SUM(I3,I4,I5)</f>
        <v>124296028</v>
      </c>
    </row>
    <row r="18" spans="2:4" s="19" customFormat="1" x14ac:dyDescent="0.45"/>
    <row r="19" spans="2:4" s="19" customFormat="1" x14ac:dyDescent="0.45">
      <c r="B19" s="50" t="s">
        <v>13</v>
      </c>
      <c r="C19" s="50"/>
    </row>
    <row r="20" spans="2:4" s="19" customFormat="1" x14ac:dyDescent="0.45">
      <c r="B20" s="60" t="s">
        <v>52</v>
      </c>
      <c r="C20" s="61">
        <f>SUM(C22:C34)</f>
        <v>5821277</v>
      </c>
      <c r="D20" s="18"/>
    </row>
    <row r="21" spans="2:4" s="19" customFormat="1" x14ac:dyDescent="0.45">
      <c r="B21" s="59"/>
      <c r="C21" s="26"/>
      <c r="D21" s="18"/>
    </row>
    <row r="22" spans="2:4" s="19" customFormat="1" x14ac:dyDescent="0.45">
      <c r="B22" s="64">
        <v>46143</v>
      </c>
      <c r="C22" s="61">
        <f>CMA!I28+개인연금!F28+퇴직연금!F28</f>
        <v>4261901</v>
      </c>
      <c r="D22" s="18"/>
    </row>
    <row r="23" spans="2:4" s="19" customFormat="1" x14ac:dyDescent="0.45">
      <c r="B23" s="64">
        <v>46174</v>
      </c>
      <c r="C23" s="61">
        <f>CMA!I29+개인연금!F29+퇴직연금!F29</f>
        <v>1559376</v>
      </c>
    </row>
  </sheetData>
  <mergeCells count="5">
    <mergeCell ref="B13:C13"/>
    <mergeCell ref="B7:C7"/>
    <mergeCell ref="B16:C16"/>
    <mergeCell ref="B10:C10"/>
    <mergeCell ref="B19:C19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tabSelected="1" workbookViewId="0">
      <selection activeCell="H35" sqref="H35"/>
    </sheetView>
  </sheetViews>
  <sheetFormatPr defaultRowHeight="17" x14ac:dyDescent="0.45"/>
  <cols>
    <col min="1" max="1" width="3.33203125" style="20" customWidth="1"/>
    <col min="2" max="2" width="11" style="20" bestFit="1" customWidth="1"/>
    <col min="3" max="3" width="13" style="20" bestFit="1" customWidth="1"/>
    <col min="4" max="4" width="28.9140625" style="20" customWidth="1"/>
    <col min="5" max="5" width="29.1640625" style="20" bestFit="1" customWidth="1"/>
    <col min="6" max="7" width="25.25" style="20" customWidth="1"/>
    <col min="8" max="8" width="23.25" style="20" customWidth="1"/>
    <col min="9" max="9" width="13.83203125" style="20" bestFit="1" customWidth="1"/>
  </cols>
  <sheetData>
    <row r="1" spans="2:9" ht="17.5" customHeight="1" x14ac:dyDescent="0.45"/>
    <row r="2" spans="2:9" x14ac:dyDescent="0.45">
      <c r="B2" s="51" t="s">
        <v>14</v>
      </c>
      <c r="C2" s="5" t="s">
        <v>15</v>
      </c>
      <c r="D2" s="4">
        <v>1</v>
      </c>
      <c r="E2" s="4">
        <v>3</v>
      </c>
      <c r="F2" s="4">
        <v>3</v>
      </c>
      <c r="G2" s="4">
        <v>4</v>
      </c>
      <c r="H2" s="4">
        <v>5</v>
      </c>
      <c r="I2" s="47" t="s">
        <v>16</v>
      </c>
    </row>
    <row r="3" spans="2:9" x14ac:dyDescent="0.45">
      <c r="B3" s="48"/>
      <c r="C3" s="5" t="s">
        <v>17</v>
      </c>
      <c r="D3" s="10" t="s">
        <v>18</v>
      </c>
      <c r="E3" s="11" t="s">
        <v>19</v>
      </c>
      <c r="F3" s="10" t="s">
        <v>53</v>
      </c>
      <c r="G3" s="10" t="s">
        <v>20</v>
      </c>
      <c r="H3" s="11"/>
      <c r="I3" s="48"/>
    </row>
    <row r="4" spans="2:9" ht="17.5" customHeight="1" x14ac:dyDescent="0.45">
      <c r="B4" s="49"/>
      <c r="C4" s="5" t="s">
        <v>21</v>
      </c>
      <c r="D4" s="6" t="s">
        <v>22</v>
      </c>
      <c r="E4" s="6" t="s">
        <v>23</v>
      </c>
      <c r="F4" s="6" t="s">
        <v>54</v>
      </c>
      <c r="G4" s="6" t="s">
        <v>24</v>
      </c>
      <c r="H4" s="6"/>
      <c r="I4" s="49"/>
    </row>
    <row r="5" spans="2:9" x14ac:dyDescent="0.45">
      <c r="B5" s="51" t="s">
        <v>25</v>
      </c>
      <c r="C5" s="21" t="s">
        <v>26</v>
      </c>
      <c r="D5" s="27">
        <v>0.4</v>
      </c>
      <c r="E5" s="27">
        <v>0.3</v>
      </c>
      <c r="F5" s="27">
        <v>0.1</v>
      </c>
      <c r="G5" s="27">
        <v>0.1</v>
      </c>
      <c r="H5" s="27"/>
      <c r="I5" s="16">
        <f>SUM(D5:H5)</f>
        <v>0.89999999999999991</v>
      </c>
    </row>
    <row r="6" spans="2:9" ht="17.5" customHeight="1" x14ac:dyDescent="0.45">
      <c r="B6" s="48"/>
      <c r="C6" s="21" t="s">
        <v>27</v>
      </c>
      <c r="D6" s="27">
        <v>0.4</v>
      </c>
      <c r="E6" s="27">
        <v>0.3</v>
      </c>
      <c r="F6" s="27">
        <v>0.1</v>
      </c>
      <c r="G6" s="27">
        <v>0.1</v>
      </c>
      <c r="H6" s="27"/>
      <c r="I6" s="16"/>
    </row>
    <row r="7" spans="2:9" ht="17.5" customHeight="1" x14ac:dyDescent="0.45">
      <c r="B7" s="49"/>
      <c r="C7" s="21" t="s">
        <v>28</v>
      </c>
      <c r="D7" s="28">
        <f>Assets!$E$3*(D5)*D6</f>
        <v>192729428.16000003</v>
      </c>
      <c r="E7" s="28">
        <f>Assets!$E$3*(E5)*E6</f>
        <v>108410303.34</v>
      </c>
      <c r="F7" s="28">
        <f>Assets!$E$3*(F5)*F6</f>
        <v>12045589.260000002</v>
      </c>
      <c r="G7" s="28">
        <f>Assets!$E$3*(G5)*G6</f>
        <v>12045589.260000002</v>
      </c>
      <c r="H7" s="28">
        <f>Assets!$E$3*(H5)*H6</f>
        <v>0</v>
      </c>
      <c r="I7" s="29">
        <f>SUM(D7:G7)</f>
        <v>325230910.01999998</v>
      </c>
    </row>
    <row r="8" spans="2:9" s="19" customFormat="1" ht="17.5" customHeight="1" x14ac:dyDescent="0.45">
      <c r="B8" s="51" t="s">
        <v>29</v>
      </c>
      <c r="C8" s="30" t="s">
        <v>30</v>
      </c>
      <c r="D8" s="31">
        <v>8597</v>
      </c>
      <c r="E8" s="31">
        <v>874</v>
      </c>
      <c r="F8" s="31">
        <v>197</v>
      </c>
      <c r="G8" s="31">
        <v>237</v>
      </c>
      <c r="H8" s="31"/>
      <c r="I8" s="7"/>
    </row>
    <row r="9" spans="2:9" s="19" customFormat="1" ht="17.5" customHeight="1" x14ac:dyDescent="0.45">
      <c r="B9" s="48"/>
      <c r="C9" s="30" t="s">
        <v>31</v>
      </c>
      <c r="D9" s="31">
        <v>19902</v>
      </c>
      <c r="E9" s="31">
        <v>113407</v>
      </c>
      <c r="F9" s="31">
        <v>48450</v>
      </c>
      <c r="G9" s="31">
        <v>40200</v>
      </c>
      <c r="H9" s="31"/>
      <c r="I9" s="7"/>
    </row>
    <row r="10" spans="2:9" ht="17.5" customHeight="1" x14ac:dyDescent="0.45">
      <c r="B10" s="48"/>
      <c r="C10" s="5" t="s">
        <v>3</v>
      </c>
      <c r="D10" s="28">
        <f>D9*D8</f>
        <v>171097494</v>
      </c>
      <c r="E10" s="28">
        <f>E9*E8</f>
        <v>99117718</v>
      </c>
      <c r="F10" s="28">
        <f>F9*F8</f>
        <v>9544650</v>
      </c>
      <c r="G10" s="28">
        <f>G9*G8</f>
        <v>9527400</v>
      </c>
      <c r="H10" s="28">
        <f>H9*H8</f>
        <v>0</v>
      </c>
      <c r="I10" s="32">
        <f>SUM(D10:G10)</f>
        <v>289287262</v>
      </c>
    </row>
    <row r="11" spans="2:9" ht="17.5" customHeight="1" x14ac:dyDescent="0.45">
      <c r="B11" s="49"/>
      <c r="C11" s="21" t="s">
        <v>32</v>
      </c>
      <c r="D11" s="33">
        <f>D10/$I$10</f>
        <v>0.59144496310383687</v>
      </c>
      <c r="E11" s="33">
        <f>E10/$I$10</f>
        <v>0.34262731554353748</v>
      </c>
      <c r="F11" s="33">
        <f>F10/$I$10</f>
        <v>3.2993675331615534E-2</v>
      </c>
      <c r="G11" s="33">
        <f>G10/$I$10</f>
        <v>3.2934046021010077E-2</v>
      </c>
      <c r="H11" s="33">
        <f>H10/$I$10</f>
        <v>0</v>
      </c>
      <c r="I11" s="34">
        <f>SUM(D11:G11)</f>
        <v>1</v>
      </c>
    </row>
    <row r="12" spans="2:9" x14ac:dyDescent="0.45">
      <c r="B12" s="52" t="s">
        <v>33</v>
      </c>
      <c r="C12" s="21" t="s">
        <v>34</v>
      </c>
      <c r="D12" s="35">
        <v>27825</v>
      </c>
      <c r="E12" s="35">
        <v>163875</v>
      </c>
      <c r="F12" s="35">
        <v>51105</v>
      </c>
      <c r="G12" s="35">
        <v>40780</v>
      </c>
      <c r="H12" s="35"/>
      <c r="I12" s="21"/>
    </row>
    <row r="13" spans="2:9" x14ac:dyDescent="0.45">
      <c r="B13" s="46"/>
      <c r="C13" s="5" t="s">
        <v>35</v>
      </c>
      <c r="D13" s="8">
        <f>IF(D9&gt;0, (D12-D9)/D9, 0)</f>
        <v>0.39810069339764848</v>
      </c>
      <c r="E13" s="8">
        <f>IF(E9&gt;0, (E12-E9)/E9, 0)</f>
        <v>0.44501662154893434</v>
      </c>
      <c r="F13" s="8">
        <f>IF(F9&gt;0, (F12-F9)/F9, 0)</f>
        <v>5.4798761609907119E-2</v>
      </c>
      <c r="G13" s="8">
        <f>IF(G9&gt;0, (G12-G9)/G9, 0)</f>
        <v>1.4427860696517412E-2</v>
      </c>
      <c r="H13" s="8">
        <f>IF(H9&gt;0, (H12-H9)/H9, 0)</f>
        <v>0</v>
      </c>
      <c r="I13" s="8">
        <f>I14/I10</f>
        <v>0.39021268070904552</v>
      </c>
    </row>
    <row r="14" spans="2:9" x14ac:dyDescent="0.45">
      <c r="B14" s="46"/>
      <c r="C14" s="21" t="s">
        <v>36</v>
      </c>
      <c r="D14" s="36">
        <f>D10*D13</f>
        <v>68114031</v>
      </c>
      <c r="E14" s="36">
        <f>E10*E13</f>
        <v>44109032</v>
      </c>
      <c r="F14" s="36">
        <f>F10*F13</f>
        <v>523035</v>
      </c>
      <c r="G14" s="36">
        <f>G10*G13</f>
        <v>137460</v>
      </c>
      <c r="H14" s="36">
        <f>H10*H13</f>
        <v>0</v>
      </c>
      <c r="I14" s="36">
        <f>SUM(D14:G14)</f>
        <v>112883558</v>
      </c>
    </row>
    <row r="15" spans="2:9" x14ac:dyDescent="0.45">
      <c r="B15" s="46"/>
      <c r="C15" s="21" t="s">
        <v>33</v>
      </c>
      <c r="D15" s="36">
        <f>D7-D10</f>
        <v>21631934.160000026</v>
      </c>
      <c r="E15" s="36">
        <f>E7-E10</f>
        <v>9292585.3400000036</v>
      </c>
      <c r="F15" s="36">
        <f>F7-F10</f>
        <v>2500939.2600000016</v>
      </c>
      <c r="G15" s="36">
        <f>G7-G10</f>
        <v>2518189.2600000016</v>
      </c>
      <c r="H15" s="36">
        <f>H7-H10</f>
        <v>0</v>
      </c>
      <c r="I15" s="22">
        <f>SUM(D15:G15)</f>
        <v>35943648.020000033</v>
      </c>
    </row>
    <row r="16" spans="2:9" ht="17.5" customHeight="1" x14ac:dyDescent="0.45">
      <c r="B16" s="46"/>
      <c r="C16" s="21" t="s">
        <v>37</v>
      </c>
      <c r="D16" s="22">
        <f>IFERROR((D7-D10)/D12, 0)</f>
        <v>777.4280021563352</v>
      </c>
      <c r="E16" s="22">
        <f>IFERROR((E7-E10)/E12, 0)</f>
        <v>56.705326254767378</v>
      </c>
      <c r="F16" s="22">
        <f>IFERROR((F7-F10)/F12, 0)</f>
        <v>48.937271499853274</v>
      </c>
      <c r="G16" s="22">
        <f>IFERROR((G7-G10)/G12, 0)</f>
        <v>61.750594899460559</v>
      </c>
      <c r="H16" s="22">
        <f>IFERROR((H7-H10)/H12, 0)</f>
        <v>0</v>
      </c>
      <c r="I16" s="36">
        <f>IFERROR((I7-I10)/I12, 0)</f>
        <v>0</v>
      </c>
    </row>
    <row r="17" spans="2:9" s="19" customFormat="1" ht="17.5" customHeight="1" x14ac:dyDescent="0.45">
      <c r="B17" s="45"/>
      <c r="C17" s="21" t="s">
        <v>38</v>
      </c>
      <c r="D17" s="31">
        <v>1</v>
      </c>
      <c r="E17" s="31">
        <v>1</v>
      </c>
      <c r="F17" s="31">
        <v>1</v>
      </c>
      <c r="G17" s="31">
        <v>1</v>
      </c>
      <c r="H17" s="31">
        <v>0</v>
      </c>
      <c r="I17" s="36"/>
    </row>
    <row r="18" spans="2:9" s="19" customFormat="1" ht="17.5" customHeight="1" x14ac:dyDescent="0.45">
      <c r="B18" s="45"/>
      <c r="C18" s="13">
        <v>0.4</v>
      </c>
      <c r="D18" s="22">
        <f>IF(D$17=1, D$16*Assets!$K3, -D$8*Assets!$K3)</f>
        <v>310.97120086253409</v>
      </c>
      <c r="E18" s="22">
        <f>IF(E$17=1, E$16*Assets!$K3, -E$8*Assets!$K3)</f>
        <v>22.682130501906954</v>
      </c>
      <c r="F18" s="22">
        <f>IF(F$17=1, F$16*Assets!$K3, -F$8*Assets!$K3)</f>
        <v>19.57490859994131</v>
      </c>
      <c r="G18" s="22">
        <f>IF(G$17=1, G$16*Assets!$K3, -G$8*Assets!$K3)</f>
        <v>24.700237959784225</v>
      </c>
      <c r="H18" s="22">
        <f>IF(H$17=1, H$16*Assets!$K3, -H$8*Assets!$K3)</f>
        <v>0</v>
      </c>
      <c r="I18" s="36"/>
    </row>
    <row r="19" spans="2:9" s="19" customFormat="1" ht="17.5" customHeight="1" x14ac:dyDescent="0.45">
      <c r="B19" s="45"/>
      <c r="C19" s="13">
        <v>0.3</v>
      </c>
      <c r="D19" s="22">
        <f>IF(D$17=1, D$16*Assets!$K4, -D$8*Assets!$K4)</f>
        <v>233.22840064690055</v>
      </c>
      <c r="E19" s="22">
        <f>IF(E$17=1, E$16*Assets!$K4, -E$8*Assets!$K4)</f>
        <v>17.011597876430212</v>
      </c>
      <c r="F19" s="22">
        <f>IF(F$17=1, F$16*Assets!$K4, -F$8*Assets!$K4)</f>
        <v>14.681181449955982</v>
      </c>
      <c r="G19" s="22">
        <f>IF(G$17=1, G$16*Assets!$K4, -G$8*Assets!$K4)</f>
        <v>18.525178469838167</v>
      </c>
      <c r="H19" s="22">
        <f>IF(H$17=1, H$16*Assets!$K4, -H$8*Assets!$K4)</f>
        <v>0</v>
      </c>
      <c r="I19" s="36"/>
    </row>
    <row r="20" spans="2:9" s="19" customFormat="1" ht="17.5" customHeight="1" x14ac:dyDescent="0.45">
      <c r="B20" s="45"/>
      <c r="C20" s="13">
        <v>0.2</v>
      </c>
      <c r="D20" s="22">
        <f>IF(D$17=1, D$16*Assets!$K5, -D$8*Assets!$K5)</f>
        <v>155.48560043126704</v>
      </c>
      <c r="E20" s="22">
        <f>IF(E$17=1, E$16*Assets!$K5, -E$8*Assets!$K5)</f>
        <v>11.341065250953477</v>
      </c>
      <c r="F20" s="22">
        <f>IF(F$17=1, F$16*Assets!$K5, -F$8*Assets!$K5)</f>
        <v>9.7874542999706549</v>
      </c>
      <c r="G20" s="22">
        <f>IF(G$17=1, G$16*Assets!$K5, -G$8*Assets!$K5)</f>
        <v>12.350118979892112</v>
      </c>
      <c r="H20" s="22">
        <f>IF(H$17=1, H$16*Assets!$K5, -H$8*Assets!$K5)</f>
        <v>0</v>
      </c>
      <c r="I20" s="36"/>
    </row>
    <row r="21" spans="2:9" s="19" customFormat="1" ht="17.5" customHeight="1" x14ac:dyDescent="0.45">
      <c r="B21" s="45"/>
      <c r="C21" s="13">
        <v>0.1</v>
      </c>
      <c r="D21" s="22">
        <f>IF(D$17=1, D$16*Assets!$K6, -D$8*Assets!$K6)</f>
        <v>77.742800215633522</v>
      </c>
      <c r="E21" s="22">
        <f>IF(E$17=1, E$16*Assets!$K6, -E$8*Assets!$K6)</f>
        <v>5.6705326254767385</v>
      </c>
      <c r="F21" s="22">
        <f>IF(F$17=1, F$16*Assets!$K6, -F$8*Assets!$K6)</f>
        <v>4.8937271499853274</v>
      </c>
      <c r="G21" s="22">
        <f>IF(G$17=1, G$16*Assets!$K6, -G$8*Assets!$K6)</f>
        <v>6.1750594899460562</v>
      </c>
      <c r="H21" s="22">
        <f>IF(H$17=1, H$16*Assets!$K6, -H$8*Assets!$K6)</f>
        <v>0</v>
      </c>
      <c r="I21" s="36"/>
    </row>
    <row r="22" spans="2:9" s="19" customFormat="1" ht="17.5" customHeight="1" x14ac:dyDescent="0.45">
      <c r="C22" s="9"/>
      <c r="D22" s="57">
        <f>D18*D12</f>
        <v>8652773.664000012</v>
      </c>
      <c r="E22" s="57">
        <f t="shared" ref="E22:H22" si="0">E18*E12</f>
        <v>3717034.1360000023</v>
      </c>
      <c r="F22" s="57">
        <f t="shared" si="0"/>
        <v>1000375.7040000006</v>
      </c>
      <c r="G22" s="57">
        <f t="shared" si="0"/>
        <v>1007275.7040000007</v>
      </c>
      <c r="H22" s="57">
        <f t="shared" si="0"/>
        <v>0</v>
      </c>
      <c r="I22" s="37"/>
    </row>
    <row r="23" spans="2:9" s="19" customFormat="1" ht="17.5" customHeight="1" x14ac:dyDescent="0.45">
      <c r="C23" s="9"/>
      <c r="D23" s="57"/>
      <c r="E23" s="57"/>
      <c r="F23" s="57"/>
      <c r="G23" s="57"/>
      <c r="H23" s="57"/>
      <c r="I23" s="37"/>
    </row>
    <row r="24" spans="2:9" x14ac:dyDescent="0.45">
      <c r="B24" s="50" t="s">
        <v>39</v>
      </c>
      <c r="C24" s="5" t="s">
        <v>40</v>
      </c>
      <c r="D24" s="28">
        <f>D8+D16</f>
        <v>9374.4280021563354</v>
      </c>
      <c r="E24" s="28">
        <f>E8+E16</f>
        <v>930.70532625476733</v>
      </c>
      <c r="F24" s="28"/>
      <c r="G24" s="28">
        <f>G8+G16</f>
        <v>298.75059489946057</v>
      </c>
      <c r="H24" s="28">
        <f>H8+H16</f>
        <v>0</v>
      </c>
      <c r="I24" s="47" t="s">
        <v>41</v>
      </c>
    </row>
    <row r="25" spans="2:9" x14ac:dyDescent="0.45">
      <c r="B25" s="48"/>
      <c r="C25" s="5" t="s">
        <v>42</v>
      </c>
      <c r="D25" s="38">
        <f>IF(D10&gt;0,(((D8*D9)+(D16*D12))/(D8+D16)),0)</f>
        <v>20559.060042454621</v>
      </c>
      <c r="E25" s="38">
        <f>IF(E10&gt;0,(((E8*E9)+(E16*E12))/(E8+E16)),0)</f>
        <v>116481.87700424122</v>
      </c>
      <c r="F25" s="38"/>
      <c r="G25" s="38">
        <f>IF(G10&gt;0,(((G8*G9)+(G16*G12))/(G8+G16)),0)</f>
        <v>40319.883761415571</v>
      </c>
      <c r="H25" s="38">
        <f>IF(H10&gt;0,(((H8*H9)+(H16*H12))/(H8+H16)),0)</f>
        <v>0</v>
      </c>
      <c r="I25" s="49"/>
    </row>
    <row r="26" spans="2:9" ht="17.5" customHeight="1" x14ac:dyDescent="0.45">
      <c r="B26" s="49"/>
      <c r="C26" s="5" t="s">
        <v>3</v>
      </c>
      <c r="D26" s="22">
        <f>D24*D25</f>
        <v>192729428.16000003</v>
      </c>
      <c r="E26" s="22">
        <f>E24*E25</f>
        <v>108410303.34</v>
      </c>
      <c r="F26" s="22"/>
      <c r="G26" s="22">
        <f>G24*G25</f>
        <v>12045589.260000002</v>
      </c>
      <c r="H26" s="22">
        <f>H24*H25</f>
        <v>0</v>
      </c>
      <c r="I26" s="39">
        <f>SUM(D26:G26)</f>
        <v>313185320.75999999</v>
      </c>
    </row>
    <row r="28" spans="2:9" x14ac:dyDescent="0.45">
      <c r="B28" s="65" t="s">
        <v>51</v>
      </c>
      <c r="C28" s="14">
        <v>46161</v>
      </c>
      <c r="D28" s="22">
        <v>2549100</v>
      </c>
      <c r="E28" s="22">
        <v>100905</v>
      </c>
      <c r="F28" s="15"/>
      <c r="G28" s="14"/>
      <c r="H28" s="22"/>
      <c r="I28" s="58">
        <f>SUM(D28:H28)</f>
        <v>2650005</v>
      </c>
    </row>
    <row r="29" spans="2:9" x14ac:dyDescent="0.45">
      <c r="B29" s="66"/>
      <c r="C29" s="21"/>
      <c r="D29" s="22"/>
      <c r="E29" s="22"/>
      <c r="F29" s="22"/>
      <c r="G29" s="22"/>
      <c r="H29" s="22"/>
      <c r="I29" s="58">
        <f>SUM(D29:H29)</f>
        <v>0</v>
      </c>
    </row>
    <row r="30" spans="2:9" x14ac:dyDescent="0.45">
      <c r="D30" s="41"/>
      <c r="E30" s="41"/>
      <c r="F30" s="41"/>
      <c r="G30" s="41"/>
      <c r="H30" s="41"/>
    </row>
    <row r="32" spans="2:9" x14ac:dyDescent="0.45">
      <c r="E32" s="2"/>
    </row>
  </sheetData>
  <mergeCells count="8">
    <mergeCell ref="B28:B29"/>
    <mergeCell ref="I2:I4"/>
    <mergeCell ref="B24:B26"/>
    <mergeCell ref="B8:B11"/>
    <mergeCell ref="B12:B21"/>
    <mergeCell ref="I24:I25"/>
    <mergeCell ref="B2:B4"/>
    <mergeCell ref="B5:B7"/>
  </mergeCells>
  <phoneticPr fontId="4" type="noConversion"/>
  <conditionalFormatting sqref="D16:D17">
    <cfRule type="expression" dxfId="34" priority="23">
      <formula>#REF!+#REF!&gt;0</formula>
    </cfRule>
  </conditionalFormatting>
  <conditionalFormatting sqref="D18:D21">
    <cfRule type="expression" dxfId="33" priority="31">
      <formula>#REF!+#REF!&gt;0</formula>
    </cfRule>
  </conditionalFormatting>
  <conditionalFormatting sqref="D22:H23">
    <cfRule type="expression" dxfId="32" priority="32">
      <formula>B22+#REF!&gt;0</formula>
    </cfRule>
  </conditionalFormatting>
  <conditionalFormatting sqref="D13:I13">
    <cfRule type="expression" dxfId="31" priority="12" stopIfTrue="1">
      <formula>D13&gt;0</formula>
    </cfRule>
  </conditionalFormatting>
  <conditionalFormatting sqref="D13:I14">
    <cfRule type="expression" dxfId="30" priority="10">
      <formula>D13&lt;0</formula>
    </cfRule>
  </conditionalFormatting>
  <conditionalFormatting sqref="D14:I14">
    <cfRule type="expression" dxfId="29" priority="11">
      <formula>D14&gt;0</formula>
    </cfRule>
  </conditionalFormatting>
  <conditionalFormatting sqref="D15:I15">
    <cfRule type="expression" dxfId="28" priority="9">
      <formula>#REF!+C15&gt;0</formula>
    </cfRule>
  </conditionalFormatting>
  <conditionalFormatting sqref="E16:H17">
    <cfRule type="expression" dxfId="27" priority="3">
      <formula>C16+#REF!&gt;0</formula>
    </cfRule>
  </conditionalFormatting>
  <conditionalFormatting sqref="E18:H21">
    <cfRule type="expression" dxfId="26" priority="4">
      <formula>#REF!+#REF!&gt;0</formula>
    </cfRule>
  </conditionalFormatting>
  <conditionalFormatting sqref="I16:I23">
    <cfRule type="expression" dxfId="23" priority="83">
      <formula>G16+#REF!&gt;0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activeCell="E38" sqref="E38"/>
    </sheetView>
  </sheetViews>
  <sheetFormatPr defaultRowHeight="17" x14ac:dyDescent="0.45"/>
  <cols>
    <col min="1" max="1" width="3.33203125" style="20" customWidth="1"/>
    <col min="2" max="2" width="11" style="20" bestFit="1" customWidth="1"/>
    <col min="3" max="3" width="13" style="20" bestFit="1" customWidth="1"/>
    <col min="4" max="4" width="39" style="20" customWidth="1"/>
    <col min="5" max="5" width="36.6640625" style="20" customWidth="1"/>
    <col min="6" max="6" width="13.83203125" style="20" bestFit="1" customWidth="1"/>
    <col min="8" max="8" width="14.25" style="20" bestFit="1" customWidth="1"/>
    <col min="9" max="9" width="13.1640625" style="20" bestFit="1" customWidth="1"/>
  </cols>
  <sheetData>
    <row r="1" spans="2:6" ht="17.5" customHeight="1" x14ac:dyDescent="0.45"/>
    <row r="2" spans="2:6" x14ac:dyDescent="0.45">
      <c r="B2" s="51" t="s">
        <v>14</v>
      </c>
      <c r="C2" s="5" t="s">
        <v>15</v>
      </c>
      <c r="D2" s="4">
        <v>1</v>
      </c>
      <c r="E2" s="4">
        <v>2</v>
      </c>
      <c r="F2" s="47" t="s">
        <v>16</v>
      </c>
    </row>
    <row r="3" spans="2:6" x14ac:dyDescent="0.45">
      <c r="B3" s="48"/>
      <c r="C3" s="5" t="s">
        <v>17</v>
      </c>
      <c r="D3" s="10" t="s">
        <v>43</v>
      </c>
      <c r="E3" s="10"/>
      <c r="F3" s="48"/>
    </row>
    <row r="4" spans="2:6" ht="17.5" customHeight="1" x14ac:dyDescent="0.45">
      <c r="B4" s="49"/>
      <c r="C4" s="5" t="s">
        <v>21</v>
      </c>
      <c r="D4" s="6" t="s">
        <v>44</v>
      </c>
      <c r="E4" s="6"/>
      <c r="F4" s="49"/>
    </row>
    <row r="5" spans="2:6" x14ac:dyDescent="0.45">
      <c r="B5" s="51" t="s">
        <v>45</v>
      </c>
      <c r="C5" s="21" t="s">
        <v>26</v>
      </c>
      <c r="D5" s="27">
        <v>1</v>
      </c>
      <c r="E5" s="27"/>
      <c r="F5" s="16">
        <f>SUM(A5:E5)</f>
        <v>1</v>
      </c>
    </row>
    <row r="6" spans="2:6" ht="17.5" customHeight="1" x14ac:dyDescent="0.45">
      <c r="B6" s="48"/>
      <c r="C6" s="21" t="s">
        <v>27</v>
      </c>
      <c r="D6" s="27">
        <v>0.9</v>
      </c>
      <c r="E6" s="27"/>
      <c r="F6" s="16"/>
    </row>
    <row r="7" spans="2:6" ht="17.5" customHeight="1" x14ac:dyDescent="0.45">
      <c r="B7" s="49"/>
      <c r="C7" s="21" t="s">
        <v>46</v>
      </c>
      <c r="D7" s="28">
        <f>Assets!$E$4*(D5)*D6</f>
        <v>114870017.7</v>
      </c>
      <c r="E7" s="28">
        <f>Assets!$E$4*(E5)*E6</f>
        <v>0</v>
      </c>
      <c r="F7" s="32">
        <f>SUM(D7:E7)</f>
        <v>114870017.7</v>
      </c>
    </row>
    <row r="8" spans="2:6" ht="17.5" customHeight="1" x14ac:dyDescent="0.45">
      <c r="B8" s="51" t="s">
        <v>29</v>
      </c>
      <c r="C8" s="30" t="s">
        <v>30</v>
      </c>
      <c r="D8" s="31">
        <v>9756</v>
      </c>
      <c r="E8" s="31"/>
      <c r="F8" s="7"/>
    </row>
    <row r="9" spans="2:6" ht="17.5" customHeight="1" x14ac:dyDescent="0.45">
      <c r="B9" s="48"/>
      <c r="C9" s="30" t="s">
        <v>31</v>
      </c>
      <c r="D9" s="31">
        <v>9993</v>
      </c>
      <c r="E9" s="31"/>
      <c r="F9" s="7"/>
    </row>
    <row r="10" spans="2:6" ht="17.5" customHeight="1" x14ac:dyDescent="0.45">
      <c r="B10" s="48"/>
      <c r="C10" s="5" t="s">
        <v>3</v>
      </c>
      <c r="D10" s="28">
        <f>D9*D8</f>
        <v>97491708</v>
      </c>
      <c r="E10" s="28">
        <f>E9*E8</f>
        <v>0</v>
      </c>
      <c r="F10" s="32">
        <f>SUM(D10:E10)</f>
        <v>97491708</v>
      </c>
    </row>
    <row r="11" spans="2:6" ht="17.5" customHeight="1" x14ac:dyDescent="0.45">
      <c r="B11" s="49"/>
      <c r="C11" s="21" t="s">
        <v>32</v>
      </c>
      <c r="D11" s="33">
        <f>IFERROR(D10/$F$10, 0)</f>
        <v>1</v>
      </c>
      <c r="E11" s="33">
        <f>IFERROR(E10/$F$10, 0)</f>
        <v>0</v>
      </c>
      <c r="F11" s="34">
        <f>SUM(D11:E11)</f>
        <v>1</v>
      </c>
    </row>
    <row r="12" spans="2:6" x14ac:dyDescent="0.45">
      <c r="B12" s="53" t="s">
        <v>33</v>
      </c>
      <c r="C12" s="21" t="s">
        <v>34</v>
      </c>
      <c r="D12" s="35">
        <v>11145</v>
      </c>
      <c r="E12" s="35"/>
      <c r="F12" s="21"/>
    </row>
    <row r="13" spans="2:6" x14ac:dyDescent="0.45">
      <c r="B13" s="54"/>
      <c r="C13" s="5" t="s">
        <v>35</v>
      </c>
      <c r="D13" s="8">
        <f>IF(D9&gt;0, (D12-D9)/D9, 0)</f>
        <v>0.11528069648754127</v>
      </c>
      <c r="E13" s="8">
        <f>IF(E9&gt;0, (E12-E9)/E9, 0)</f>
        <v>0</v>
      </c>
      <c r="F13" s="8">
        <f>IFERROR(F14/F10, 0)</f>
        <v>0.11528069648754127</v>
      </c>
    </row>
    <row r="14" spans="2:6" x14ac:dyDescent="0.45">
      <c r="B14" s="54"/>
      <c r="C14" s="21" t="s">
        <v>36</v>
      </c>
      <c r="D14" s="36">
        <f>D10*D13</f>
        <v>11238912</v>
      </c>
      <c r="E14" s="36">
        <f>E10*E13</f>
        <v>0</v>
      </c>
      <c r="F14" s="36">
        <f>SUM(D14:E14)</f>
        <v>11238912</v>
      </c>
    </row>
    <row r="15" spans="2:6" x14ac:dyDescent="0.45">
      <c r="B15" s="54"/>
      <c r="C15" s="21" t="s">
        <v>56</v>
      </c>
      <c r="D15" s="36">
        <f>D7-D10</f>
        <v>17378309.700000003</v>
      </c>
      <c r="E15" s="22">
        <f>E7-E10</f>
        <v>0</v>
      </c>
      <c r="F15" s="22">
        <f>SUM(A15:D15)</f>
        <v>17378309.700000003</v>
      </c>
    </row>
    <row r="16" spans="2:6" ht="17.5" customHeight="1" x14ac:dyDescent="0.45">
      <c r="B16" s="54"/>
      <c r="C16" s="21" t="s">
        <v>55</v>
      </c>
      <c r="D16" s="36">
        <f>IFERROR((D7-D10)/D12, 0)</f>
        <v>1559.2920323014807</v>
      </c>
      <c r="E16" s="36">
        <f>IFERROR((E7-E10)/E12, 0)</f>
        <v>0</v>
      </c>
      <c r="F16" s="36">
        <f>IFERROR((F7-F10)/F12, 0)</f>
        <v>0</v>
      </c>
    </row>
    <row r="17" spans="2:9" s="19" customFormat="1" ht="17.5" customHeight="1" x14ac:dyDescent="0.45">
      <c r="B17" s="54"/>
      <c r="C17" s="21" t="s">
        <v>38</v>
      </c>
      <c r="D17" s="31">
        <v>1</v>
      </c>
      <c r="E17" s="31">
        <v>0</v>
      </c>
      <c r="F17" s="36"/>
    </row>
    <row r="18" spans="2:9" s="19" customFormat="1" ht="17.5" customHeight="1" x14ac:dyDescent="0.45">
      <c r="B18" s="54"/>
      <c r="C18" s="13">
        <v>0.4</v>
      </c>
      <c r="D18" s="22">
        <f>IF(D$17=1, D$16*Assets!$K3, -D$8*Assets!$K3)</f>
        <v>623.71681292059236</v>
      </c>
      <c r="E18" s="22">
        <f>IF(E$17=1, E$16*Assets!$K3, -E$8*Assets!$K3)</f>
        <v>0</v>
      </c>
      <c r="F18" s="36"/>
    </row>
    <row r="19" spans="2:9" s="19" customFormat="1" ht="17.5" customHeight="1" x14ac:dyDescent="0.45">
      <c r="B19" s="54"/>
      <c r="C19" s="13">
        <v>0.3</v>
      </c>
      <c r="D19" s="22">
        <f>IF(D$17=1, D$16*Assets!$K4, -D$8*Assets!$K4)</f>
        <v>467.78760969044419</v>
      </c>
      <c r="E19" s="22">
        <f>IF(E$17=1, E$16*Assets!$K4, -E$8*Assets!$K4)</f>
        <v>0</v>
      </c>
      <c r="F19" s="36"/>
    </row>
    <row r="20" spans="2:9" s="19" customFormat="1" ht="17.5" customHeight="1" x14ac:dyDescent="0.45">
      <c r="B20" s="54"/>
      <c r="C20" s="13">
        <v>0.2</v>
      </c>
      <c r="D20" s="22">
        <f>IF(D$17=1, D$16*Assets!$K5, -D$8*Assets!$K5)</f>
        <v>311.85840646029618</v>
      </c>
      <c r="E20" s="22">
        <f>IF(E$17=1, E$16*Assets!$K5, -E$8*Assets!$K5)</f>
        <v>0</v>
      </c>
      <c r="F20" s="36"/>
    </row>
    <row r="21" spans="2:9" s="19" customFormat="1" ht="17.5" customHeight="1" x14ac:dyDescent="0.45">
      <c r="B21" s="54"/>
      <c r="C21" s="13">
        <v>0.1</v>
      </c>
      <c r="D21" s="22">
        <f>IF(D$17=1, D$16*Assets!$K6, -D$8*Assets!$K6)</f>
        <v>155.92920323014809</v>
      </c>
      <c r="E21" s="22">
        <f>IF(E$17=1, E$16*Assets!$K6, -E$8*Assets!$K6)</f>
        <v>0</v>
      </c>
      <c r="F21" s="36"/>
    </row>
    <row r="22" spans="2:9" s="19" customFormat="1" ht="17.5" customHeight="1" x14ac:dyDescent="0.45">
      <c r="C22" s="9"/>
      <c r="D22" s="41">
        <f>D12*D18</f>
        <v>6951323.8800000018</v>
      </c>
      <c r="E22" s="37"/>
      <c r="F22" s="37"/>
    </row>
    <row r="23" spans="2:9" s="19" customFormat="1" ht="17.5" customHeight="1" x14ac:dyDescent="0.45">
      <c r="C23" s="9"/>
      <c r="D23" s="41"/>
      <c r="E23" s="37"/>
      <c r="F23" s="37"/>
    </row>
    <row r="24" spans="2:9" x14ac:dyDescent="0.45">
      <c r="B24" s="50" t="s">
        <v>39</v>
      </c>
      <c r="C24" s="5" t="s">
        <v>40</v>
      </c>
      <c r="D24" s="28">
        <f>D8+D16</f>
        <v>11315.292032301481</v>
      </c>
      <c r="E24" s="28">
        <f>E8+E16</f>
        <v>0</v>
      </c>
      <c r="F24" s="47" t="s">
        <v>41</v>
      </c>
    </row>
    <row r="25" spans="2:9" x14ac:dyDescent="0.45">
      <c r="B25" s="48"/>
      <c r="C25" s="5" t="s">
        <v>42</v>
      </c>
      <c r="D25" s="38">
        <f>IF(D10&gt;0,(((D8*D9)+(D16*D12))/(D8+D16)),0)</f>
        <v>10151.750160056272</v>
      </c>
      <c r="E25" s="38">
        <f>IF(E10&gt;0,(((E8*E9)+(E16*E12))/(E8+E16)),0)</f>
        <v>0</v>
      </c>
      <c r="F25" s="49"/>
    </row>
    <row r="26" spans="2:9" ht="17.5" customHeight="1" x14ac:dyDescent="0.45">
      <c r="B26" s="49"/>
      <c r="C26" s="21" t="s">
        <v>48</v>
      </c>
      <c r="D26" s="42">
        <f>D24*D25</f>
        <v>114870017.70000002</v>
      </c>
      <c r="E26" s="42">
        <f>E24*E25</f>
        <v>0</v>
      </c>
      <c r="F26" s="39">
        <f>SUM(D26:E26)</f>
        <v>114870017.70000002</v>
      </c>
    </row>
    <row r="28" spans="2:9" ht="17" customHeight="1" x14ac:dyDescent="0.45">
      <c r="B28" s="65" t="s">
        <v>51</v>
      </c>
      <c r="C28" s="14">
        <v>46148</v>
      </c>
      <c r="D28" s="22">
        <v>1434641</v>
      </c>
      <c r="E28" s="22">
        <v>40664</v>
      </c>
      <c r="F28" s="58">
        <f>SUM(D28:E28)</f>
        <v>1475305</v>
      </c>
      <c r="H28" s="18"/>
    </row>
    <row r="29" spans="2:9" x14ac:dyDescent="0.45">
      <c r="B29" s="66"/>
      <c r="C29" s="14">
        <v>46175</v>
      </c>
      <c r="D29" s="56">
        <v>1559376</v>
      </c>
      <c r="E29" s="22">
        <v>0</v>
      </c>
      <c r="F29" s="58">
        <f>SUM(D29:E29)</f>
        <v>1559376</v>
      </c>
      <c r="H29" s="43"/>
      <c r="I29" s="43"/>
    </row>
    <row r="30" spans="2:9" x14ac:dyDescent="0.45">
      <c r="D30" s="55"/>
      <c r="H30" s="43"/>
      <c r="I30" s="43"/>
    </row>
    <row r="31" spans="2:9" x14ac:dyDescent="0.45">
      <c r="D31" s="41"/>
    </row>
  </sheetData>
  <mergeCells count="8">
    <mergeCell ref="B24:B26"/>
    <mergeCell ref="B8:B11"/>
    <mergeCell ref="F24:F25"/>
    <mergeCell ref="F2:F4"/>
    <mergeCell ref="B12:B21"/>
    <mergeCell ref="B2:B4"/>
    <mergeCell ref="B5:B7"/>
    <mergeCell ref="B28:B29"/>
  </mergeCells>
  <phoneticPr fontId="4" type="noConversion"/>
  <conditionalFormatting sqref="D17:D21">
    <cfRule type="expression" dxfId="20" priority="2">
      <formula>#REF!+#REF!&gt;0</formula>
    </cfRule>
  </conditionalFormatting>
  <conditionalFormatting sqref="D13:F13">
    <cfRule type="expression" dxfId="19" priority="6" stopIfTrue="1">
      <formula>D13&gt;0</formula>
    </cfRule>
  </conditionalFormatting>
  <conditionalFormatting sqref="D13:F14">
    <cfRule type="expression" dxfId="18" priority="4">
      <formula>D13&lt;0</formula>
    </cfRule>
  </conditionalFormatting>
  <conditionalFormatting sqref="D14:F14">
    <cfRule type="expression" dxfId="17" priority="14">
      <formula>D14&gt;0</formula>
    </cfRule>
  </conditionalFormatting>
  <conditionalFormatting sqref="D15:F15">
    <cfRule type="expression" dxfId="16" priority="10">
      <formula>#REF!+C15&gt;0</formula>
    </cfRule>
  </conditionalFormatting>
  <conditionalFormatting sqref="D16:F16 F17:F21 E22:F23">
    <cfRule type="expression" dxfId="15" priority="9">
      <formula>B16+#REF!&gt;0</formula>
    </cfRule>
  </conditionalFormatting>
  <conditionalFormatting sqref="E17">
    <cfRule type="expression" dxfId="14" priority="3">
      <formula>C17+#REF!&gt;0</formula>
    </cfRule>
  </conditionalFormatting>
  <conditionalFormatting sqref="E18:E21">
    <cfRule type="expression" dxfId="13" priority="1">
      <formula>#REF!+#REF!&gt;0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9"/>
  <sheetViews>
    <sheetView workbookViewId="0">
      <selection activeCell="D39" sqref="D39"/>
    </sheetView>
  </sheetViews>
  <sheetFormatPr defaultRowHeight="17" x14ac:dyDescent="0.45"/>
  <cols>
    <col min="1" max="1" width="3.6640625" style="20" customWidth="1"/>
    <col min="2" max="2" width="11" style="20" bestFit="1" customWidth="1"/>
    <col min="3" max="3" width="13" style="20" bestFit="1" customWidth="1"/>
    <col min="4" max="4" width="31.9140625" style="20" bestFit="1" customWidth="1"/>
    <col min="5" max="5" width="26.9140625" style="20" customWidth="1"/>
    <col min="6" max="6" width="12.6640625" style="20" bestFit="1" customWidth="1"/>
  </cols>
  <sheetData>
    <row r="2" spans="2:6" x14ac:dyDescent="0.45">
      <c r="B2" s="51" t="s">
        <v>14</v>
      </c>
      <c r="C2" s="5" t="s">
        <v>15</v>
      </c>
      <c r="D2" s="4">
        <v>1</v>
      </c>
      <c r="E2" s="4">
        <v>2</v>
      </c>
      <c r="F2" s="47" t="s">
        <v>16</v>
      </c>
    </row>
    <row r="3" spans="2:6" x14ac:dyDescent="0.45">
      <c r="B3" s="48"/>
      <c r="C3" s="5" t="s">
        <v>17</v>
      </c>
      <c r="D3" s="10" t="s">
        <v>49</v>
      </c>
      <c r="E3" s="11"/>
      <c r="F3" s="48"/>
    </row>
    <row r="4" spans="2:6" x14ac:dyDescent="0.45">
      <c r="B4" s="49"/>
      <c r="C4" s="5" t="s">
        <v>21</v>
      </c>
      <c r="D4" s="6" t="s">
        <v>50</v>
      </c>
      <c r="E4" s="6"/>
      <c r="F4" s="49"/>
    </row>
    <row r="5" spans="2:6" x14ac:dyDescent="0.45">
      <c r="B5" s="51" t="s">
        <v>45</v>
      </c>
      <c r="C5" s="21" t="s">
        <v>26</v>
      </c>
      <c r="D5" s="27">
        <v>1</v>
      </c>
      <c r="E5" s="27"/>
      <c r="F5" s="16">
        <f>SUM(A5:E5)</f>
        <v>1</v>
      </c>
    </row>
    <row r="6" spans="2:6" x14ac:dyDescent="0.45">
      <c r="B6" s="48"/>
      <c r="C6" s="21" t="s">
        <v>27</v>
      </c>
      <c r="D6" s="27">
        <v>1</v>
      </c>
      <c r="E6" s="27"/>
      <c r="F6" s="16"/>
    </row>
    <row r="7" spans="2:6" x14ac:dyDescent="0.45">
      <c r="B7" s="49"/>
      <c r="C7" s="21" t="s">
        <v>46</v>
      </c>
      <c r="D7" s="28">
        <f>Assets!$E$5*(D5)*D6</f>
        <v>13627227</v>
      </c>
      <c r="E7" s="28">
        <f>Assets!$E$3*(E5)*E6</f>
        <v>0</v>
      </c>
      <c r="F7" s="32">
        <f>SUM(A7:D7)</f>
        <v>13627227</v>
      </c>
    </row>
    <row r="8" spans="2:6" x14ac:dyDescent="0.45">
      <c r="B8" s="51" t="s">
        <v>29</v>
      </c>
      <c r="C8" s="30" t="s">
        <v>30</v>
      </c>
      <c r="D8" s="31">
        <v>1771</v>
      </c>
      <c r="E8" s="31"/>
      <c r="F8" s="7"/>
    </row>
    <row r="9" spans="2:6" x14ac:dyDescent="0.45">
      <c r="B9" s="48"/>
      <c r="C9" s="30" t="s">
        <v>31</v>
      </c>
      <c r="D9" s="31">
        <v>7687</v>
      </c>
      <c r="E9" s="31"/>
      <c r="F9" s="7"/>
    </row>
    <row r="10" spans="2:6" x14ac:dyDescent="0.45">
      <c r="B10" s="48"/>
      <c r="C10" s="5" t="s">
        <v>3</v>
      </c>
      <c r="D10" s="28">
        <f>D9*D8</f>
        <v>13613677</v>
      </c>
      <c r="E10" s="28">
        <f>E9*E8</f>
        <v>0</v>
      </c>
      <c r="F10" s="32">
        <f>SUM(A10:D10)</f>
        <v>13613677</v>
      </c>
    </row>
    <row r="11" spans="2:6" x14ac:dyDescent="0.45">
      <c r="B11" s="49"/>
      <c r="C11" s="21" t="s">
        <v>32</v>
      </c>
      <c r="D11" s="33">
        <f>IFERROR(D10/$F$10, 0)</f>
        <v>1</v>
      </c>
      <c r="E11" s="33">
        <f>IFERROR(E10/$F$10, 0)</f>
        <v>0</v>
      </c>
      <c r="F11" s="34">
        <f>SUM(A11:D11)</f>
        <v>1</v>
      </c>
    </row>
    <row r="12" spans="2:6" x14ac:dyDescent="0.45">
      <c r="B12" s="53" t="s">
        <v>33</v>
      </c>
      <c r="C12" s="21" t="s">
        <v>34</v>
      </c>
      <c r="D12" s="35">
        <v>7785</v>
      </c>
      <c r="E12" s="44"/>
      <c r="F12" s="21"/>
    </row>
    <row r="13" spans="2:6" x14ac:dyDescent="0.45">
      <c r="B13" s="54"/>
      <c r="C13" s="5" t="s">
        <v>35</v>
      </c>
      <c r="D13" s="8">
        <f>IF(D9&gt;0, (D12-D9)/D9, 0)</f>
        <v>1.2748796669702094E-2</v>
      </c>
      <c r="E13" s="8">
        <f>IF(E9&gt;0, (E12-E9)/E9, 0)</f>
        <v>0</v>
      </c>
      <c r="F13" s="8">
        <f>IFERROR(F14/F10, 0)</f>
        <v>1.2748796669702094E-2</v>
      </c>
    </row>
    <row r="14" spans="2:6" x14ac:dyDescent="0.45">
      <c r="B14" s="54"/>
      <c r="C14" s="21" t="s">
        <v>36</v>
      </c>
      <c r="D14" s="36">
        <f>D10*D13</f>
        <v>173558</v>
      </c>
      <c r="E14" s="36">
        <f>E10*E13</f>
        <v>0</v>
      </c>
      <c r="F14" s="36">
        <f>SUM(A14:D14)</f>
        <v>173558</v>
      </c>
    </row>
    <row r="15" spans="2:6" x14ac:dyDescent="0.45">
      <c r="B15" s="54"/>
      <c r="C15" s="21" t="s">
        <v>47</v>
      </c>
      <c r="D15" s="22">
        <f>D7-D10</f>
        <v>13550</v>
      </c>
      <c r="E15" s="22">
        <f>E7-E10</f>
        <v>0</v>
      </c>
      <c r="F15" s="22">
        <f>SUM(A15:D15)</f>
        <v>13550</v>
      </c>
    </row>
    <row r="16" spans="2:6" x14ac:dyDescent="0.45">
      <c r="B16" s="54"/>
      <c r="C16" s="21" t="s">
        <v>37</v>
      </c>
      <c r="D16" s="36">
        <f>IFERROR((D7-D10)/D12, 0)</f>
        <v>1.7405266538214514</v>
      </c>
      <c r="E16" s="36">
        <f>IFERROR((E7-E10)/E12, 0)</f>
        <v>0</v>
      </c>
      <c r="F16" s="36">
        <f>IFERROR((F7-F10)/F12, 0)</f>
        <v>0</v>
      </c>
    </row>
    <row r="17" spans="2:6" s="19" customFormat="1" x14ac:dyDescent="0.45">
      <c r="B17" s="54"/>
      <c r="C17" s="21" t="s">
        <v>38</v>
      </c>
      <c r="D17" s="31">
        <v>1</v>
      </c>
      <c r="E17" s="31">
        <v>1</v>
      </c>
      <c r="F17" s="36"/>
    </row>
    <row r="18" spans="2:6" s="19" customFormat="1" x14ac:dyDescent="0.45">
      <c r="B18" s="54"/>
      <c r="C18" s="13">
        <v>0.4</v>
      </c>
      <c r="D18" s="22">
        <f>IF(D$17=1, D$16*Assets!$K3, -D$8*Assets!$K3)</f>
        <v>0.69621066152858058</v>
      </c>
      <c r="E18" s="22">
        <f>IF(E$17=1, E$16*Assets!$K3, -E$8*Assets!$K3)</f>
        <v>0</v>
      </c>
      <c r="F18" s="36"/>
    </row>
    <row r="19" spans="2:6" s="19" customFormat="1" x14ac:dyDescent="0.45">
      <c r="B19" s="54"/>
      <c r="C19" s="13">
        <v>0.3</v>
      </c>
      <c r="D19" s="22">
        <f>IF(D$17=1, D$16*Assets!$K4, -D$8*Assets!$K4)</f>
        <v>0.52215799614643543</v>
      </c>
      <c r="E19" s="22">
        <f>IF(E$17=1, E$16*Assets!$K4, -E$8*Assets!$K4)</f>
        <v>0</v>
      </c>
      <c r="F19" s="36"/>
    </row>
    <row r="20" spans="2:6" s="19" customFormat="1" x14ac:dyDescent="0.45">
      <c r="B20" s="54"/>
      <c r="C20" s="13">
        <v>0.2</v>
      </c>
      <c r="D20" s="22">
        <f>IF(D$17=1, D$16*Assets!$K5, -D$8*Assets!$K5)</f>
        <v>0.34810533076429029</v>
      </c>
      <c r="E20" s="22">
        <f>IF(E$17=1, E$16*Assets!$K5, -E$8*Assets!$K5)</f>
        <v>0</v>
      </c>
      <c r="F20" s="36"/>
    </row>
    <row r="21" spans="2:6" s="19" customFormat="1" x14ac:dyDescent="0.45">
      <c r="B21" s="54"/>
      <c r="C21" s="13">
        <v>0.1</v>
      </c>
      <c r="D21" s="22">
        <f>IF(D$17=1, D$16*Assets!$K6, -D$8*Assets!$K6)</f>
        <v>0.17405266538214514</v>
      </c>
      <c r="E21" s="22">
        <f>IF(E$17=1, E$16*Assets!$K6, -E$8*Assets!$K6)</f>
        <v>0</v>
      </c>
      <c r="F21" s="36"/>
    </row>
    <row r="22" spans="2:6" s="19" customFormat="1" x14ac:dyDescent="0.45">
      <c r="C22" s="9"/>
      <c r="D22" s="57">
        <f>D12*D18</f>
        <v>5420</v>
      </c>
      <c r="E22" s="37"/>
      <c r="F22" s="37"/>
    </row>
    <row r="23" spans="2:6" s="19" customFormat="1" x14ac:dyDescent="0.45">
      <c r="C23" s="9"/>
      <c r="D23" s="37"/>
      <c r="E23" s="37"/>
      <c r="F23" s="37"/>
    </row>
    <row r="24" spans="2:6" x14ac:dyDescent="0.45">
      <c r="B24" s="50" t="s">
        <v>39</v>
      </c>
      <c r="C24" s="5" t="s">
        <v>40</v>
      </c>
      <c r="D24" s="28">
        <f>D8+D16</f>
        <v>1772.7405266538215</v>
      </c>
      <c r="E24" s="28">
        <f>E8+E16</f>
        <v>0</v>
      </c>
      <c r="F24" s="47" t="s">
        <v>41</v>
      </c>
    </row>
    <row r="25" spans="2:6" x14ac:dyDescent="0.45">
      <c r="B25" s="48"/>
      <c r="C25" s="5" t="s">
        <v>42</v>
      </c>
      <c r="D25" s="38">
        <f>IF(D10&gt;0,(((D8*D9)+(D16*D12))/(D8+D16)),0)</f>
        <v>7687.0962191643448</v>
      </c>
      <c r="E25" s="38">
        <f>IF(E10&gt;0,(((E8*E9)+(E16*E12))/(E8+E16)),0)</f>
        <v>0</v>
      </c>
      <c r="F25" s="49"/>
    </row>
    <row r="26" spans="2:6" x14ac:dyDescent="0.45">
      <c r="B26" s="49"/>
      <c r="C26" s="21" t="s">
        <v>48</v>
      </c>
      <c r="D26" s="42">
        <f>D24*D25</f>
        <v>13627227</v>
      </c>
      <c r="E26" s="42">
        <f>E24*E25</f>
        <v>0</v>
      </c>
      <c r="F26" s="39">
        <f>SUM(A26:D26)</f>
        <v>13627227</v>
      </c>
    </row>
    <row r="28" spans="2:6" x14ac:dyDescent="0.45">
      <c r="B28" s="65" t="s">
        <v>51</v>
      </c>
      <c r="C28" s="14">
        <v>46161</v>
      </c>
      <c r="D28" s="22">
        <v>136591</v>
      </c>
      <c r="E28" s="14"/>
      <c r="F28" s="58">
        <f>SUM(D28:E28)</f>
        <v>136591</v>
      </c>
    </row>
    <row r="29" spans="2:6" x14ac:dyDescent="0.45">
      <c r="B29" s="66"/>
      <c r="C29" s="21"/>
      <c r="D29" s="22"/>
      <c r="E29" s="22"/>
      <c r="F29" s="40">
        <f>SUM(D29:E29)</f>
        <v>0</v>
      </c>
    </row>
  </sheetData>
  <mergeCells count="8">
    <mergeCell ref="B28:B29"/>
    <mergeCell ref="B24:B26"/>
    <mergeCell ref="B8:B11"/>
    <mergeCell ref="F2:F4"/>
    <mergeCell ref="B12:B21"/>
    <mergeCell ref="B2:B4"/>
    <mergeCell ref="F24:F25"/>
    <mergeCell ref="B5:B7"/>
  </mergeCells>
  <phoneticPr fontId="4" type="noConversion"/>
  <conditionalFormatting sqref="D17:D21">
    <cfRule type="expression" dxfId="12" priority="2">
      <formula>#REF!+#REF!&gt;0</formula>
    </cfRule>
  </conditionalFormatting>
  <conditionalFormatting sqref="D13:E13">
    <cfRule type="expression" dxfId="11" priority="16" stopIfTrue="1">
      <formula>D13&gt;0</formula>
    </cfRule>
  </conditionalFormatting>
  <conditionalFormatting sqref="D13:E14">
    <cfRule type="expression" dxfId="10" priority="13">
      <formula>D13&lt;0</formula>
    </cfRule>
  </conditionalFormatting>
  <conditionalFormatting sqref="D14:E14">
    <cfRule type="expression" dxfId="9" priority="14">
      <formula>D14&gt;0</formula>
    </cfRule>
  </conditionalFormatting>
  <conditionalFormatting sqref="D15:F15">
    <cfRule type="expression" dxfId="8" priority="10">
      <formula>#REF!+C15&gt;0</formula>
    </cfRule>
  </conditionalFormatting>
  <conditionalFormatting sqref="D16:F16 D22:F23">
    <cfRule type="expression" dxfId="7" priority="9">
      <formula>B16+#REF!&gt;0</formula>
    </cfRule>
  </conditionalFormatting>
  <conditionalFormatting sqref="E17">
    <cfRule type="expression" dxfId="6" priority="3">
      <formula>C17+#REF!&gt;0</formula>
    </cfRule>
  </conditionalFormatting>
  <conditionalFormatting sqref="E18:E21">
    <cfRule type="expression" dxfId="5" priority="1">
      <formula>#REF!+#REF!&gt;0</formula>
    </cfRule>
  </conditionalFormatting>
  <conditionalFormatting sqref="F13">
    <cfRule type="expression" dxfId="4" priority="5">
      <formula>F13&lt;0</formula>
    </cfRule>
    <cfRule type="expression" dxfId="3" priority="6" stopIfTrue="1">
      <formula>F13&gt;0</formula>
    </cfRule>
  </conditionalFormatting>
  <conditionalFormatting sqref="F14">
    <cfRule type="expression" dxfId="2" priority="7">
      <formula>E14&lt;0</formula>
    </cfRule>
    <cfRule type="expression" dxfId="1" priority="8">
      <formula>E14&gt;0</formula>
    </cfRule>
  </conditionalFormatting>
  <conditionalFormatting sqref="F17:F21">
    <cfRule type="expression" dxfId="0" priority="4">
      <formula>D17+#REF!&gt;0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2026-06-02T07:45:31Z</dcterms:modified>
  <cp:version>1300.0100.01</cp:version>
</cp:coreProperties>
</file>