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aeoh\Downloads\"/>
    </mc:Choice>
  </mc:AlternateContent>
  <xr:revisionPtr revIDLastSave="0" documentId="13_ncr:1_{59416DDF-FC52-4BC0-AC82-2668B398B6AF}" xr6:coauthVersionLast="47" xr6:coauthVersionMax="47" xr10:uidLastSave="{00000000-0000-0000-0000-000000000000}"/>
  <bookViews>
    <workbookView xWindow="40550" yWindow="2880" windowWidth="26110" windowHeight="16810" tabRatio="661" activeTab="2" xr2:uid="{00000000-000D-0000-FFFF-FFFF00000000}"/>
  </bookViews>
  <sheets>
    <sheet name="Assets" sheetId="1" r:id="rId1"/>
    <sheet name="CMA" sheetId="2" r:id="rId2"/>
    <sheet name="개인연금" sheetId="3" r:id="rId3"/>
    <sheet name="퇴직연금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7" i="1" l="1"/>
  <c r="I5" i="1"/>
  <c r="F7" i="1"/>
  <c r="F5" i="1"/>
  <c r="H13" i="2"/>
  <c r="H10" i="2"/>
  <c r="H14" i="2" s="1"/>
  <c r="H11" i="2" l="1"/>
  <c r="H24" i="2"/>
  <c r="F28" i="4" l="1"/>
  <c r="E13" i="4"/>
  <c r="D13" i="4"/>
  <c r="E10" i="4"/>
  <c r="E14" i="4" s="1"/>
  <c r="D10" i="4"/>
  <c r="F5" i="4"/>
  <c r="F28" i="3"/>
  <c r="E13" i="3"/>
  <c r="D13" i="3"/>
  <c r="E10" i="3"/>
  <c r="D10" i="3"/>
  <c r="F10" i="3" s="1"/>
  <c r="F6" i="1" s="1"/>
  <c r="C16" i="1" s="1"/>
  <c r="D22" i="1" s="1"/>
  <c r="F5" i="3"/>
  <c r="I28" i="2"/>
  <c r="G21" i="2"/>
  <c r="G20" i="2"/>
  <c r="G19" i="2"/>
  <c r="G18" i="2"/>
  <c r="D14" i="2"/>
  <c r="G13" i="2"/>
  <c r="G14" i="2" s="1"/>
  <c r="F13" i="2"/>
  <c r="F14" i="2" s="1"/>
  <c r="E13" i="2"/>
  <c r="D13" i="2"/>
  <c r="G10" i="2"/>
  <c r="G24" i="2" s="1"/>
  <c r="F10" i="2"/>
  <c r="E10" i="2"/>
  <c r="D10" i="2"/>
  <c r="I5" i="2"/>
  <c r="C10" i="1"/>
  <c r="I10" i="2" l="1"/>
  <c r="I27" i="2"/>
  <c r="E14" i="2"/>
  <c r="E11" i="3"/>
  <c r="F27" i="3"/>
  <c r="F11" i="2"/>
  <c r="I14" i="2"/>
  <c r="F10" i="4"/>
  <c r="E11" i="4" s="1"/>
  <c r="D11" i="3"/>
  <c r="F11" i="3" s="1"/>
  <c r="F24" i="2"/>
  <c r="D11" i="2"/>
  <c r="E11" i="2"/>
  <c r="D14" i="4"/>
  <c r="F14" i="4" s="1"/>
  <c r="E24" i="4"/>
  <c r="D14" i="3"/>
  <c r="G11" i="2"/>
  <c r="E14" i="3"/>
  <c r="C22" i="1"/>
  <c r="F14" i="3" l="1"/>
  <c r="I6" i="1" s="1"/>
  <c r="C7" i="1"/>
  <c r="E7" i="1" s="1"/>
  <c r="D7" i="4" s="1"/>
  <c r="F13" i="4"/>
  <c r="D11" i="4"/>
  <c r="F11" i="4" s="1"/>
  <c r="F27" i="4"/>
  <c r="I13" i="2"/>
  <c r="I11" i="2"/>
  <c r="C6" i="1"/>
  <c r="E6" i="1" s="1"/>
  <c r="F13" i="3"/>
  <c r="E7" i="3" l="1"/>
  <c r="D7" i="3"/>
  <c r="C19" i="1"/>
  <c r="C5" i="1"/>
  <c r="D16" i="4"/>
  <c r="D15" i="4"/>
  <c r="F15" i="4" s="1"/>
  <c r="F7" i="4"/>
  <c r="F16" i="4" s="1"/>
  <c r="D23" i="4" l="1"/>
  <c r="D18" i="4"/>
  <c r="D20" i="4"/>
  <c r="D21" i="4"/>
  <c r="D19" i="4"/>
  <c r="D24" i="4"/>
  <c r="E5" i="1"/>
  <c r="H7" i="2" s="1"/>
  <c r="C13" i="1"/>
  <c r="B16" i="1" s="1"/>
  <c r="B19" i="1"/>
  <c r="F7" i="3"/>
  <c r="F16" i="3" s="1"/>
  <c r="D15" i="3"/>
  <c r="F15" i="3" s="1"/>
  <c r="D16" i="3"/>
  <c r="E15" i="3"/>
  <c r="E16" i="3"/>
  <c r="H15" i="2" l="1"/>
  <c r="H16" i="2"/>
  <c r="B10" i="1"/>
  <c r="E23" i="3"/>
  <c r="E20" i="3"/>
  <c r="E18" i="3"/>
  <c r="E21" i="3"/>
  <c r="E19" i="3"/>
  <c r="E24" i="3"/>
  <c r="D23" i="3"/>
  <c r="D19" i="3"/>
  <c r="D20" i="3"/>
  <c r="D21" i="3"/>
  <c r="D18" i="3"/>
  <c r="D24" i="3"/>
  <c r="D7" i="2"/>
  <c r="E7" i="2"/>
  <c r="E7" i="4"/>
  <c r="G7" i="2"/>
  <c r="F7" i="2"/>
  <c r="D25" i="4"/>
  <c r="F25" i="4" s="1"/>
  <c r="H20" i="2" l="1"/>
  <c r="H21" i="2"/>
  <c r="H18" i="2"/>
  <c r="H23" i="2"/>
  <c r="H25" i="2" s="1"/>
  <c r="H19" i="2"/>
  <c r="E25" i="3"/>
  <c r="F16" i="2"/>
  <c r="F15" i="2"/>
  <c r="E16" i="4"/>
  <c r="E15" i="4"/>
  <c r="E16" i="2"/>
  <c r="E15" i="2"/>
  <c r="D25" i="3"/>
  <c r="F25" i="3" s="1"/>
  <c r="D15" i="2"/>
  <c r="D16" i="2"/>
  <c r="I7" i="2"/>
  <c r="I16" i="2" s="1"/>
  <c r="G16" i="2"/>
  <c r="G23" i="2" s="1"/>
  <c r="G25" i="2" s="1"/>
  <c r="G15" i="2"/>
  <c r="D18" i="2" l="1"/>
  <c r="D21" i="2"/>
  <c r="D19" i="2"/>
  <c r="D23" i="2"/>
  <c r="D20" i="2"/>
  <c r="D24" i="2"/>
  <c r="I15" i="2"/>
  <c r="E21" i="2"/>
  <c r="E20" i="2"/>
  <c r="E23" i="2"/>
  <c r="E18" i="2"/>
  <c r="E19" i="2"/>
  <c r="E24" i="2"/>
  <c r="E21" i="4"/>
  <c r="E19" i="4"/>
  <c r="E23" i="4"/>
  <c r="E25" i="4" s="1"/>
  <c r="E20" i="4"/>
  <c r="E18" i="4"/>
  <c r="F19" i="2"/>
  <c r="F21" i="2"/>
  <c r="F18" i="2"/>
  <c r="F29" i="2" s="1"/>
  <c r="F23" i="2"/>
  <c r="F25" i="2" s="1"/>
  <c r="F20" i="2"/>
  <c r="E25" i="2" l="1"/>
  <c r="D25" i="2"/>
  <c r="I25" i="2" s="1"/>
</calcChain>
</file>

<file path=xl/sharedStrings.xml><?xml version="1.0" encoding="utf-8"?>
<sst xmlns="http://schemas.openxmlformats.org/spreadsheetml/2006/main" count="116" uniqueCount="57">
  <si>
    <t>2026.05.06</t>
  </si>
  <si>
    <t>투자원금</t>
  </si>
  <si>
    <t>현금보유비중</t>
  </si>
  <si>
    <t>투자가능금액</t>
  </si>
  <si>
    <t>투자금</t>
  </si>
  <si>
    <t>순자산총액</t>
  </si>
  <si>
    <t>평가손익</t>
  </si>
  <si>
    <t>매매비율</t>
  </si>
  <si>
    <t>CMA</t>
  </si>
  <si>
    <t>연금저축(신)</t>
  </si>
  <si>
    <t>IRP</t>
  </si>
  <si>
    <t>총자산</t>
  </si>
  <si>
    <t>원금</t>
  </si>
  <si>
    <t>수익</t>
  </si>
  <si>
    <t>ITEMs</t>
  </si>
  <si>
    <t>#</t>
  </si>
  <si>
    <t>합계</t>
  </si>
  <si>
    <t>코드</t>
  </si>
  <si>
    <t>498400</t>
  </si>
  <si>
    <t>091160</t>
  </si>
  <si>
    <t>069500</t>
  </si>
  <si>
    <t>종목</t>
  </si>
  <si>
    <t>KODEX 200타겟위클리커버드콜</t>
  </si>
  <si>
    <t>KODEX 반도체</t>
  </si>
  <si>
    <t>KODEX 200</t>
  </si>
  <si>
    <t>Plan</t>
  </si>
  <si>
    <t>투자비중</t>
  </si>
  <si>
    <t>매수목표</t>
  </si>
  <si>
    <t>투자한도</t>
  </si>
  <si>
    <t>Investment</t>
  </si>
  <si>
    <t>보유량</t>
  </si>
  <si>
    <t>평균단가</t>
  </si>
  <si>
    <t>비중</t>
  </si>
  <si>
    <t>매매</t>
  </si>
  <si>
    <t>현재가</t>
  </si>
  <si>
    <t>수익률</t>
  </si>
  <si>
    <t>추가매수</t>
  </si>
  <si>
    <t>LONG/SHORT</t>
  </si>
  <si>
    <t>목표</t>
  </si>
  <si>
    <t>목표수량</t>
  </si>
  <si>
    <t>투자금 목표</t>
  </si>
  <si>
    <t>목표평단가</t>
  </si>
  <si>
    <t>배당,분배</t>
  </si>
  <si>
    <t>지급일일</t>
  </si>
  <si>
    <t>금액(세후)</t>
  </si>
  <si>
    <t>494300</t>
  </si>
  <si>
    <t>381180</t>
  </si>
  <si>
    <t>KODEX 미국나스닥100데일리커버드콜OTM</t>
  </si>
  <si>
    <t>TIGER 미국필라델피아반도체나스닥</t>
  </si>
  <si>
    <t>Plane</t>
  </si>
  <si>
    <t>매수한도</t>
  </si>
  <si>
    <t>목표투자금</t>
  </si>
  <si>
    <t>481060</t>
  </si>
  <si>
    <t>KODEX 미국30년국채타겟커버드콜</t>
  </si>
  <si>
    <t>이자</t>
    <phoneticPr fontId="4" type="noConversion"/>
  </si>
  <si>
    <t>차익</t>
    <phoneticPr fontId="4" type="noConversion"/>
  </si>
  <si>
    <t>배당수익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</si>
</sst>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0.0%"/>
  </numFmts>
  <fonts count="11" x14ac:knownFonts="1">
    <font>
      <sz val="11"/>
      <color rgb="FF000000"/>
      <name val="맑은 고딕"/>
    </font>
    <font>
      <sz val="11"/>
      <color theme="1"/>
      <name val="맑은 고딕"/>
      <family val="2"/>
      <charset val="129"/>
      <scheme val="minor"/>
    </font>
    <font>
      <b/>
      <sz val="11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11"/>
      <color theme="1"/>
      <name val="맑은 고딕"/>
      <family val="3"/>
      <charset val="129"/>
    </font>
    <font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</font>
    <font>
      <sz val="11"/>
      <color rgb="FF0000FF"/>
      <name val="맑은 고딕"/>
      <family val="3"/>
      <charset val="129"/>
    </font>
    <font>
      <sz val="11"/>
      <color rgb="FF0000FF"/>
      <name val="맑은 고딕"/>
      <family val="3"/>
      <charset val="129"/>
    </font>
    <font>
      <sz val="11"/>
      <color rgb="FF0000FF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6">
    <xf numFmtId="0" fontId="0" fillId="0" borderId="0">
      <alignment vertical="center"/>
    </xf>
    <xf numFmtId="9" fontId="3" fillId="0" borderId="0">
      <alignment vertical="center"/>
    </xf>
    <xf numFmtId="41" fontId="3" fillId="0" borderId="0">
      <alignment vertical="center"/>
    </xf>
    <xf numFmtId="0" fontId="1" fillId="0" borderId="0">
      <alignment vertical="center"/>
    </xf>
    <xf numFmtId="41" fontId="1" fillId="0" borderId="0">
      <alignment vertical="center"/>
    </xf>
    <xf numFmtId="0" fontId="6" fillId="0" borderId="0"/>
  </cellStyleXfs>
  <cellXfs count="63">
    <xf numFmtId="0" fontId="0" fillId="0" borderId="0" xfId="0" applyAlignment="1">
      <alignment vertical="center"/>
    </xf>
    <xf numFmtId="9" fontId="0" fillId="0" borderId="1" xfId="0" applyNumberFormat="1" applyBorder="1" applyAlignment="1">
      <alignment vertical="center"/>
    </xf>
    <xf numFmtId="0" fontId="3" fillId="0" borderId="0" xfId="0" applyFont="1" applyAlignment="1"/>
    <xf numFmtId="0" fontId="2" fillId="0" borderId="0" xfId="0" applyFont="1" applyAlignment="1"/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0" fontId="5" fillId="3" borderId="1" xfId="1" applyNumberFormat="1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49" fontId="3" fillId="2" borderId="1" xfId="5" applyNumberFormat="1" applyFont="1" applyFill="1" applyBorder="1" applyAlignment="1">
      <alignment horizontal="center"/>
    </xf>
    <xf numFmtId="49" fontId="0" fillId="2" borderId="1" xfId="5" applyNumberFormat="1" applyFont="1" applyFill="1" applyBorder="1" applyAlignment="1">
      <alignment horizontal="center"/>
    </xf>
    <xf numFmtId="0" fontId="3" fillId="0" borderId="1" xfId="0" applyFont="1" applyBorder="1" applyAlignment="1"/>
    <xf numFmtId="9" fontId="3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/>
    <xf numFmtId="0" fontId="0" fillId="0" borderId="1" xfId="0" applyBorder="1" applyAlignment="1"/>
    <xf numFmtId="17" fontId="0" fillId="0" borderId="0" xfId="0" applyNumberFormat="1" applyAlignment="1"/>
    <xf numFmtId="10" fontId="3" fillId="0" borderId="0" xfId="1" applyNumberFormat="1" applyAlignment="1">
      <alignment vertical="center"/>
    </xf>
    <xf numFmtId="9" fontId="3" fillId="0" borderId="1" xfId="1" applyBorder="1" applyAlignment="1">
      <alignment vertical="center"/>
    </xf>
    <xf numFmtId="10" fontId="3" fillId="0" borderId="1" xfId="1" applyNumberFormat="1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/>
    <xf numFmtId="0" fontId="3" fillId="0" borderId="1" xfId="0" applyFont="1" applyBorder="1" applyAlignment="1">
      <alignment horizontal="center" vertical="center"/>
    </xf>
    <xf numFmtId="41" fontId="3" fillId="0" borderId="1" xfId="2" applyBorder="1" applyAlignment="1">
      <alignment vertical="center"/>
    </xf>
    <xf numFmtId="41" fontId="3" fillId="3" borderId="1" xfId="2" applyFill="1" applyBorder="1" applyAlignment="1">
      <alignment vertical="center"/>
    </xf>
    <xf numFmtId="41" fontId="2" fillId="0" borderId="0" xfId="0" applyNumberFormat="1" applyFont="1" applyAlignment="1">
      <alignment vertical="center"/>
    </xf>
    <xf numFmtId="41" fontId="2" fillId="0" borderId="0" xfId="0" applyNumberFormat="1" applyFont="1" applyAlignment="1"/>
    <xf numFmtId="176" fontId="2" fillId="2" borderId="1" xfId="1" applyNumberFormat="1" applyFont="1" applyFill="1" applyBorder="1" applyAlignment="1">
      <alignment vertical="center"/>
    </xf>
    <xf numFmtId="41" fontId="3" fillId="0" borderId="1" xfId="2" applyBorder="1" applyAlignment="1">
      <alignment horizontal="right" vertical="center"/>
    </xf>
    <xf numFmtId="41" fontId="3" fillId="0" borderId="1" xfId="0" applyNumberFormat="1" applyFont="1" applyBorder="1" applyAlignment="1">
      <alignment vertical="center"/>
    </xf>
    <xf numFmtId="41" fontId="0" fillId="0" borderId="1" xfId="2" applyFont="1" applyBorder="1" applyAlignment="1">
      <alignment horizontal="center" vertical="center"/>
    </xf>
    <xf numFmtId="41" fontId="2" fillId="2" borderId="1" xfId="2" applyFont="1" applyFill="1" applyBorder="1" applyAlignment="1">
      <alignment vertical="center"/>
    </xf>
    <xf numFmtId="41" fontId="2" fillId="0" borderId="1" xfId="0" applyNumberFormat="1" applyFont="1" applyBorder="1" applyAlignment="1">
      <alignment vertical="center"/>
    </xf>
    <xf numFmtId="176" fontId="3" fillId="0" borderId="1" xfId="1" applyNumberFormat="1" applyBorder="1" applyAlignment="1">
      <alignment vertical="center"/>
    </xf>
    <xf numFmtId="176" fontId="0" fillId="0" borderId="1" xfId="0" applyNumberFormat="1" applyBorder="1" applyAlignment="1">
      <alignment vertical="center"/>
    </xf>
    <xf numFmtId="41" fontId="10" fillId="2" borderId="1" xfId="2" applyFont="1" applyFill="1" applyBorder="1" applyAlignment="1">
      <alignment vertical="center"/>
    </xf>
    <xf numFmtId="41" fontId="9" fillId="2" borderId="1" xfId="2" applyFont="1" applyFill="1" applyBorder="1" applyAlignment="1">
      <alignment vertical="center"/>
    </xf>
    <xf numFmtId="41" fontId="2" fillId="0" borderId="1" xfId="2" applyFont="1" applyBorder="1" applyAlignment="1">
      <alignment vertical="center"/>
    </xf>
    <xf numFmtId="41" fontId="2" fillId="0" borderId="0" xfId="2" applyFont="1" applyAlignment="1">
      <alignment vertical="center"/>
    </xf>
    <xf numFmtId="41" fontId="3" fillId="0" borderId="1" xfId="2" applyBorder="1" applyAlignment="1">
      <alignment horizontal="center" vertical="center"/>
    </xf>
    <xf numFmtId="41" fontId="0" fillId="0" borderId="1" xfId="0" applyNumberFormat="1" applyBorder="1" applyAlignment="1">
      <alignment vertical="center"/>
    </xf>
    <xf numFmtId="41" fontId="3" fillId="0" borderId="0" xfId="2" applyAlignment="1">
      <alignment vertical="center"/>
    </xf>
    <xf numFmtId="41" fontId="0" fillId="0" borderId="1" xfId="0" applyNumberFormat="1" applyBorder="1" applyAlignment="1"/>
    <xf numFmtId="41" fontId="0" fillId="0" borderId="1" xfId="2" applyFont="1" applyBorder="1" applyAlignment="1">
      <alignment vertical="center"/>
    </xf>
    <xf numFmtId="41" fontId="8" fillId="2" borderId="1" xfId="2" applyFont="1" applyFill="1" applyBorder="1" applyAlignment="1">
      <alignment vertical="center"/>
    </xf>
    <xf numFmtId="41" fontId="7" fillId="4" borderId="7" xfId="2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/>
    <xf numFmtId="0" fontId="3" fillId="0" borderId="1" xfId="0" applyFont="1" applyBorder="1" applyAlignment="1">
      <alignment horizontal="center" vertical="center"/>
    </xf>
    <xf numFmtId="0" fontId="0" fillId="0" borderId="2" xfId="0" applyBorder="1" applyAlignment="1"/>
    <xf numFmtId="0" fontId="0" fillId="0" borderId="3" xfId="0" applyBorder="1" applyAlignment="1"/>
    <xf numFmtId="41" fontId="7" fillId="4" borderId="1" xfId="2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41" fontId="7" fillId="4" borderId="4" xfId="2" applyFont="1" applyFill="1" applyBorder="1" applyAlignment="1">
      <alignment horizontal="center" vertical="center"/>
    </xf>
    <xf numFmtId="41" fontId="7" fillId="4" borderId="5" xfId="2" applyFont="1" applyFill="1" applyBorder="1" applyAlignment="1">
      <alignment horizontal="center" vertical="center"/>
    </xf>
    <xf numFmtId="0" fontId="0" fillId="0" borderId="6" xfId="0" applyBorder="1" applyAlignment="1"/>
    <xf numFmtId="41" fontId="3" fillId="2" borderId="1" xfId="2" applyFill="1" applyBorder="1">
      <alignment vertical="center"/>
    </xf>
    <xf numFmtId="41" fontId="2" fillId="2" borderId="1" xfId="2" applyFont="1" applyFill="1" applyBorder="1">
      <alignment vertical="center"/>
    </xf>
    <xf numFmtId="41" fontId="3" fillId="0" borderId="8" xfId="2" applyBorder="1" applyAlignment="1">
      <alignment vertical="center"/>
    </xf>
    <xf numFmtId="41" fontId="0" fillId="0" borderId="0" xfId="0" applyNumberFormat="1" applyAlignment="1"/>
    <xf numFmtId="10" fontId="3" fillId="0" borderId="0" xfId="1" applyNumberFormat="1">
      <alignment vertical="center"/>
    </xf>
    <xf numFmtId="41" fontId="7" fillId="4" borderId="0" xfId="2" applyFont="1" applyFill="1" applyBorder="1" applyAlignment="1">
      <alignment horizontal="center" vertical="center"/>
    </xf>
  </cellXfs>
  <cellStyles count="6">
    <cellStyle name="Normal" xfId="5" xr:uid="{00000000-0005-0000-0000-000005000000}"/>
    <cellStyle name="백분율" xfId="1" builtinId="5"/>
    <cellStyle name="쉼표 [0]" xfId="2" builtinId="6"/>
    <cellStyle name="쉼표 [0] 2" xfId="4" xr:uid="{00000000-0005-0000-0000-000004000000}"/>
    <cellStyle name="표준" xfId="0" builtinId="0"/>
    <cellStyle name="표준 2" xfId="3" xr:uid="{00000000-0005-0000-0000-000003000000}"/>
  </cellStyles>
  <dxfs count="35">
    <dxf>
      <font>
        <b/>
        <color auto="1"/>
      </font>
    </dxf>
    <dxf>
      <font>
        <color rgb="FFC00000"/>
      </font>
    </dxf>
    <dxf>
      <font>
        <color rgb="FF0070C0"/>
      </font>
    </dxf>
    <dxf>
      <font>
        <color rgb="FFC00000"/>
      </font>
    </dxf>
    <dxf>
      <font>
        <color rgb="FF0070C0"/>
      </font>
    </dxf>
    <dxf>
      <font>
        <b/>
        <color auto="1"/>
      </font>
    </dxf>
    <dxf>
      <font>
        <b/>
        <color auto="1"/>
      </font>
    </dxf>
    <dxf>
      <font>
        <b/>
        <color auto="1"/>
      </font>
    </dxf>
    <dxf>
      <font>
        <b/>
        <color auto="1"/>
      </font>
    </dxf>
    <dxf>
      <font>
        <color rgb="FFC00000"/>
      </font>
    </dxf>
    <dxf>
      <font>
        <color rgb="FF0070C0"/>
      </font>
    </dxf>
    <dxf>
      <font>
        <color rgb="FFC00000"/>
      </font>
    </dxf>
    <dxf>
      <font>
        <b/>
        <color auto="1"/>
      </font>
    </dxf>
    <dxf>
      <font>
        <b/>
        <color auto="1"/>
      </font>
    </dxf>
    <dxf>
      <font>
        <b/>
        <color auto="1"/>
      </font>
    </dxf>
    <dxf>
      <font>
        <b/>
        <color auto="1"/>
      </font>
    </dxf>
    <dxf>
      <font>
        <b/>
        <color auto="1"/>
      </font>
    </dxf>
    <dxf>
      <font>
        <color rgb="FFC00000"/>
      </font>
    </dxf>
    <dxf>
      <font>
        <color rgb="FF0070C0"/>
      </font>
    </dxf>
    <dxf>
      <font>
        <color rgb="FFC00000"/>
      </font>
    </dxf>
    <dxf>
      <font>
        <b/>
        <color auto="1"/>
      </font>
    </dxf>
    <dxf>
      <font>
        <b/>
        <color auto="1"/>
      </font>
    </dxf>
    <dxf>
      <font>
        <b/>
        <color auto="1"/>
      </font>
    </dxf>
    <dxf>
      <font>
        <b/>
        <color auto="1"/>
      </font>
    </dxf>
    <dxf>
      <font>
        <b/>
        <color auto="1"/>
      </font>
    </dxf>
    <dxf>
      <font>
        <b/>
        <color auto="1"/>
      </font>
    </dxf>
    <dxf>
      <font>
        <b/>
        <color auto="1"/>
      </font>
    </dxf>
    <dxf>
      <font>
        <b/>
        <color auto="1"/>
      </font>
    </dxf>
    <dxf>
      <font>
        <b/>
        <color auto="1"/>
      </font>
    </dxf>
    <dxf>
      <font>
        <b/>
        <color auto="1"/>
      </font>
    </dxf>
    <dxf>
      <font>
        <color rgb="FFC00000"/>
      </font>
    </dxf>
    <dxf>
      <font>
        <color rgb="FF0070C0"/>
      </font>
    </dxf>
    <dxf>
      <font>
        <color rgb="FFC00000"/>
      </font>
    </dxf>
    <dxf>
      <font>
        <b/>
        <color auto="1"/>
      </font>
    </dxf>
    <dxf>
      <font>
        <b/>
        <color auto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3"/>
  <sheetViews>
    <sheetView workbookViewId="0">
      <selection activeCell="I16" sqref="I16"/>
    </sheetView>
  </sheetViews>
  <sheetFormatPr defaultRowHeight="17" x14ac:dyDescent="0.45"/>
  <cols>
    <col min="2" max="2" width="14.25" style="22" bestFit="1" customWidth="1"/>
    <col min="3" max="3" width="17.4140625" style="22" customWidth="1"/>
    <col min="4" max="4" width="15.58203125" style="22" bestFit="1" customWidth="1"/>
    <col min="5" max="5" width="15.58203125" style="22" customWidth="1"/>
    <col min="6" max="7" width="14.25" style="22" bestFit="1" customWidth="1"/>
    <col min="8" max="8" width="14.25" style="22" customWidth="1"/>
    <col min="9" max="9" width="11.25" style="22" customWidth="1"/>
    <col min="10" max="10" width="5.4140625" style="22" customWidth="1"/>
  </cols>
  <sheetData>
    <row r="1" spans="1:11" s="21" customFormat="1" x14ac:dyDescent="0.45"/>
    <row r="2" spans="1:11" x14ac:dyDescent="0.45">
      <c r="B2" s="3" t="s">
        <v>0</v>
      </c>
    </row>
    <row r="3" spans="1:11" s="21" customFormat="1" x14ac:dyDescent="0.45">
      <c r="B3" s="3"/>
    </row>
    <row r="4" spans="1:11" x14ac:dyDescent="0.45">
      <c r="B4" s="6"/>
      <c r="C4" s="5" t="s">
        <v>1</v>
      </c>
      <c r="D4" s="5" t="s">
        <v>2</v>
      </c>
      <c r="E4" s="5" t="s">
        <v>3</v>
      </c>
      <c r="F4" s="5" t="s">
        <v>4</v>
      </c>
      <c r="G4" s="5" t="s">
        <v>5</v>
      </c>
      <c r="H4" s="5" t="s">
        <v>54</v>
      </c>
      <c r="I4" s="5" t="s">
        <v>6</v>
      </c>
      <c r="K4" s="13" t="s">
        <v>7</v>
      </c>
    </row>
    <row r="5" spans="1:11" x14ac:dyDescent="0.45">
      <c r="B5" s="4" t="s">
        <v>8</v>
      </c>
      <c r="C5" s="24">
        <f>G5-I5</f>
        <v>1175976630</v>
      </c>
      <c r="D5" s="1">
        <v>0</v>
      </c>
      <c r="E5" s="24">
        <f>C5*(1-D5)</f>
        <v>1175976630</v>
      </c>
      <c r="F5" s="24">
        <f>CMA!I10</f>
        <v>268835022</v>
      </c>
      <c r="G5" s="57">
        <v>1242264061</v>
      </c>
      <c r="H5" s="57">
        <v>696133</v>
      </c>
      <c r="I5" s="25">
        <f>CMA!I14+H5</f>
        <v>66287431</v>
      </c>
      <c r="K5" s="19">
        <v>0.4</v>
      </c>
    </row>
    <row r="6" spans="1:11" x14ac:dyDescent="0.45">
      <c r="B6" s="4" t="s">
        <v>9</v>
      </c>
      <c r="C6" s="24">
        <f>G6-I6</f>
        <v>117944928</v>
      </c>
      <c r="D6" s="1">
        <v>0</v>
      </c>
      <c r="E6" s="24">
        <f>C6*(1-D6)</f>
        <v>117944928</v>
      </c>
      <c r="F6" s="24">
        <f>개인연금!F10</f>
        <v>117601176</v>
      </c>
      <c r="G6" s="57">
        <v>128156052</v>
      </c>
      <c r="H6" s="57">
        <v>0</v>
      </c>
      <c r="I6" s="25">
        <f>개인연금!F14+H6</f>
        <v>10211124</v>
      </c>
      <c r="K6" s="19">
        <v>0.3</v>
      </c>
    </row>
    <row r="7" spans="1:11" x14ac:dyDescent="0.45">
      <c r="B7" s="4" t="s">
        <v>10</v>
      </c>
      <c r="C7" s="24">
        <f>G7-I7</f>
        <v>13781026</v>
      </c>
      <c r="D7" s="1">
        <v>0</v>
      </c>
      <c r="E7" s="24">
        <f>C7*(1-D7)</f>
        <v>13781026</v>
      </c>
      <c r="F7" s="24">
        <f>퇴직연금!F10</f>
        <v>13864851</v>
      </c>
      <c r="G7" s="57">
        <v>13696305</v>
      </c>
      <c r="H7" s="57">
        <v>0</v>
      </c>
      <c r="I7" s="25">
        <f>퇴직연금!F14+H7</f>
        <v>-84721</v>
      </c>
      <c r="K7" s="19">
        <v>0.2</v>
      </c>
    </row>
    <row r="8" spans="1:11" x14ac:dyDescent="0.45">
      <c r="F8" s="60"/>
      <c r="K8" s="19">
        <v>0.1</v>
      </c>
    </row>
    <row r="9" spans="1:11" x14ac:dyDescent="0.45">
      <c r="B9" s="46" t="s">
        <v>11</v>
      </c>
      <c r="C9" s="48"/>
    </row>
    <row r="10" spans="1:11" x14ac:dyDescent="0.45">
      <c r="A10" s="21"/>
      <c r="B10" s="18">
        <f>C19/C13</f>
        <v>5.8433649160702428E-2</v>
      </c>
      <c r="C10" s="26">
        <f>SUM(G5,G6,G7)</f>
        <v>1384116418</v>
      </c>
    </row>
    <row r="12" spans="1:11" x14ac:dyDescent="0.45">
      <c r="A12" s="21"/>
      <c r="B12" s="46" t="s">
        <v>12</v>
      </c>
      <c r="C12" s="48"/>
    </row>
    <row r="13" spans="1:11" s="21" customFormat="1" x14ac:dyDescent="0.45">
      <c r="B13" s="2"/>
      <c r="C13" s="26">
        <f>SUM(C5,C6,C7)</f>
        <v>1307702584</v>
      </c>
    </row>
    <row r="14" spans="1:11" x14ac:dyDescent="0.45">
      <c r="A14" s="21"/>
    </row>
    <row r="15" spans="1:11" s="21" customFormat="1" x14ac:dyDescent="0.45">
      <c r="B15" s="46" t="s">
        <v>4</v>
      </c>
      <c r="C15" s="47"/>
    </row>
    <row r="16" spans="1:11" s="21" customFormat="1" x14ac:dyDescent="0.45">
      <c r="B16" s="18">
        <f>C16/C13</f>
        <v>0.3061101613606661</v>
      </c>
      <c r="C16" s="27">
        <f>SUM(F5:F7)</f>
        <v>400301049</v>
      </c>
    </row>
    <row r="17" spans="2:4" s="21" customFormat="1" x14ac:dyDescent="0.45"/>
    <row r="18" spans="2:4" s="21" customFormat="1" x14ac:dyDescent="0.45">
      <c r="B18" s="46" t="s">
        <v>55</v>
      </c>
      <c r="C18" s="47"/>
    </row>
    <row r="19" spans="2:4" s="21" customFormat="1" x14ac:dyDescent="0.45">
      <c r="B19" s="18">
        <f>C19/C16</f>
        <v>0.19089091620142121</v>
      </c>
      <c r="C19" s="26">
        <f>SUM(I5,I6,I7)</f>
        <v>76413834</v>
      </c>
    </row>
    <row r="20" spans="2:4" s="21" customFormat="1" x14ac:dyDescent="0.45"/>
    <row r="21" spans="2:4" s="21" customFormat="1" x14ac:dyDescent="0.45">
      <c r="B21" s="46" t="s">
        <v>56</v>
      </c>
      <c r="C21" s="62"/>
      <c r="D21" s="62"/>
    </row>
    <row r="22" spans="2:4" s="21" customFormat="1" x14ac:dyDescent="0.45">
      <c r="B22" s="17">
        <v>46143</v>
      </c>
      <c r="C22" s="27">
        <f>CMA!I28+개인연금!F28+퇴직연금!F28</f>
        <v>2536439</v>
      </c>
      <c r="D22" s="61">
        <f>C22/C16</f>
        <v>6.3363286365007753E-3</v>
      </c>
    </row>
    <row r="23" spans="2:4" s="21" customFormat="1" x14ac:dyDescent="0.45"/>
  </sheetData>
  <mergeCells count="5">
    <mergeCell ref="B15:C15"/>
    <mergeCell ref="B9:C9"/>
    <mergeCell ref="B18:C18"/>
    <mergeCell ref="B12:C12"/>
    <mergeCell ref="B21:D21"/>
  </mergeCells>
  <phoneticPr fontId="4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2"/>
  <sheetViews>
    <sheetView workbookViewId="0">
      <selection activeCell="F32" sqref="F32"/>
    </sheetView>
  </sheetViews>
  <sheetFormatPr defaultRowHeight="17" x14ac:dyDescent="0.45"/>
  <cols>
    <col min="1" max="1" width="3.33203125" style="22" customWidth="1"/>
    <col min="2" max="2" width="11" style="22" bestFit="1" customWidth="1"/>
    <col min="3" max="3" width="13" style="22" bestFit="1" customWidth="1"/>
    <col min="4" max="4" width="28.9140625" style="22" customWidth="1"/>
    <col min="5" max="5" width="24.4140625" style="22" customWidth="1"/>
    <col min="6" max="6" width="23.5" style="22" customWidth="1"/>
    <col min="7" max="7" width="21.5" style="22" customWidth="1"/>
    <col min="8" max="8" width="20.83203125" style="22" customWidth="1"/>
    <col min="9" max="9" width="13.83203125" style="22" bestFit="1" customWidth="1"/>
  </cols>
  <sheetData>
    <row r="1" spans="2:9" ht="17.5" customHeight="1" x14ac:dyDescent="0.45"/>
    <row r="2" spans="2:9" x14ac:dyDescent="0.45">
      <c r="B2" s="53" t="s">
        <v>14</v>
      </c>
      <c r="C2" s="6" t="s">
        <v>15</v>
      </c>
      <c r="D2" s="5">
        <v>1</v>
      </c>
      <c r="E2" s="5">
        <v>2</v>
      </c>
      <c r="F2" s="5">
        <v>3</v>
      </c>
      <c r="G2" s="5">
        <v>4</v>
      </c>
      <c r="H2" s="5">
        <v>5</v>
      </c>
      <c r="I2" s="49" t="s">
        <v>16</v>
      </c>
    </row>
    <row r="3" spans="2:9" x14ac:dyDescent="0.45">
      <c r="B3" s="50"/>
      <c r="C3" s="6" t="s">
        <v>17</v>
      </c>
      <c r="D3" s="11" t="s">
        <v>18</v>
      </c>
      <c r="E3" s="12" t="s">
        <v>19</v>
      </c>
      <c r="F3" s="11"/>
      <c r="G3" s="11"/>
      <c r="H3" s="11" t="s">
        <v>20</v>
      </c>
      <c r="I3" s="50"/>
    </row>
    <row r="4" spans="2:9" ht="17.5" customHeight="1" x14ac:dyDescent="0.45">
      <c r="B4" s="51"/>
      <c r="C4" s="6" t="s">
        <v>21</v>
      </c>
      <c r="D4" s="7" t="s">
        <v>22</v>
      </c>
      <c r="E4" s="7" t="s">
        <v>23</v>
      </c>
      <c r="F4" s="7"/>
      <c r="G4" s="7"/>
      <c r="H4" s="7" t="s">
        <v>24</v>
      </c>
      <c r="I4" s="51"/>
    </row>
    <row r="5" spans="2:9" x14ac:dyDescent="0.45">
      <c r="B5" s="53" t="s">
        <v>25</v>
      </c>
      <c r="C5" s="23" t="s">
        <v>26</v>
      </c>
      <c r="D5" s="28">
        <v>0.4</v>
      </c>
      <c r="E5" s="28">
        <v>0.3</v>
      </c>
      <c r="F5" s="28"/>
      <c r="G5" s="28"/>
      <c r="H5" s="28">
        <v>0.2</v>
      </c>
      <c r="I5" s="19">
        <f>SUM(D5:H5)</f>
        <v>0.89999999999999991</v>
      </c>
    </row>
    <row r="6" spans="2:9" ht="17.5" customHeight="1" x14ac:dyDescent="0.45">
      <c r="B6" s="50"/>
      <c r="C6" s="23" t="s">
        <v>27</v>
      </c>
      <c r="D6" s="28">
        <v>0.4</v>
      </c>
      <c r="E6" s="28">
        <v>0.4</v>
      </c>
      <c r="F6" s="28"/>
      <c r="G6" s="28"/>
      <c r="H6" s="28">
        <v>0.1</v>
      </c>
      <c r="I6" s="19"/>
    </row>
    <row r="7" spans="2:9" ht="17.5" customHeight="1" x14ac:dyDescent="0.45">
      <c r="B7" s="51"/>
      <c r="C7" s="23" t="s">
        <v>28</v>
      </c>
      <c r="D7" s="29">
        <f>Assets!$E$5*(D5)*D6</f>
        <v>188156260.80000001</v>
      </c>
      <c r="E7" s="29">
        <f>Assets!$E$5*(E5)*E6</f>
        <v>141117195.59999999</v>
      </c>
      <c r="F7" s="29">
        <f>Assets!$E$5*(F5)*F6</f>
        <v>0</v>
      </c>
      <c r="G7" s="29">
        <f>Assets!$E$5*(G5)*G6</f>
        <v>0</v>
      </c>
      <c r="H7" s="29">
        <f>Assets!$E$5*(H5)*H6</f>
        <v>23519532.600000001</v>
      </c>
      <c r="I7" s="30">
        <f>SUM(D7:G7)</f>
        <v>329273456.39999998</v>
      </c>
    </row>
    <row r="8" spans="2:9" s="21" customFormat="1" ht="17.5" customHeight="1" x14ac:dyDescent="0.45">
      <c r="B8" s="53" t="s">
        <v>29</v>
      </c>
      <c r="C8" s="31" t="s">
        <v>30</v>
      </c>
      <c r="D8" s="32">
        <v>7251</v>
      </c>
      <c r="E8" s="58">
        <v>1170</v>
      </c>
      <c r="F8" s="32"/>
      <c r="G8" s="32"/>
      <c r="H8" s="32"/>
      <c r="I8" s="8"/>
    </row>
    <row r="9" spans="2:9" s="21" customFormat="1" ht="17.5" customHeight="1" x14ac:dyDescent="0.45">
      <c r="B9" s="50"/>
      <c r="C9" s="31" t="s">
        <v>31</v>
      </c>
      <c r="D9" s="32">
        <v>19062</v>
      </c>
      <c r="E9" s="58">
        <v>111638</v>
      </c>
      <c r="F9" s="32"/>
      <c r="G9" s="32"/>
      <c r="H9" s="32"/>
      <c r="I9" s="8"/>
    </row>
    <row r="10" spans="2:9" ht="17.5" customHeight="1" x14ac:dyDescent="0.45">
      <c r="B10" s="50"/>
      <c r="C10" s="6" t="s">
        <v>4</v>
      </c>
      <c r="D10" s="29">
        <f>D9*D8</f>
        <v>138218562</v>
      </c>
      <c r="E10" s="29">
        <f>E9*E8</f>
        <v>130616460</v>
      </c>
      <c r="F10" s="29">
        <f>F9*F8</f>
        <v>0</v>
      </c>
      <c r="G10" s="29">
        <f>G9*G8</f>
        <v>0</v>
      </c>
      <c r="H10" s="29">
        <f>H9*H8</f>
        <v>0</v>
      </c>
      <c r="I10" s="33">
        <f>SUM(D10:G10)</f>
        <v>268835022</v>
      </c>
    </row>
    <row r="11" spans="2:9" ht="17.5" customHeight="1" x14ac:dyDescent="0.45">
      <c r="B11" s="51"/>
      <c r="C11" s="23" t="s">
        <v>32</v>
      </c>
      <c r="D11" s="34">
        <f>D10/$I$10</f>
        <v>0.51413897256288277</v>
      </c>
      <c r="E11" s="34">
        <f>E10/$I$10</f>
        <v>0.48586102743711718</v>
      </c>
      <c r="F11" s="34">
        <f>F10/$I$10</f>
        <v>0</v>
      </c>
      <c r="G11" s="34">
        <f>G10/$I$10</f>
        <v>0</v>
      </c>
      <c r="H11" s="34">
        <f>H10/$I$10</f>
        <v>0</v>
      </c>
      <c r="I11" s="35">
        <f>SUM(D11:G11)</f>
        <v>1</v>
      </c>
    </row>
    <row r="12" spans="2:9" x14ac:dyDescent="0.45">
      <c r="B12" s="54" t="s">
        <v>33</v>
      </c>
      <c r="C12" s="23" t="s">
        <v>34</v>
      </c>
      <c r="D12" s="36">
        <v>23220</v>
      </c>
      <c r="E12" s="36">
        <v>141930</v>
      </c>
      <c r="F12" s="36"/>
      <c r="G12" s="37"/>
      <c r="H12" s="36">
        <v>115500</v>
      </c>
      <c r="I12" s="23"/>
    </row>
    <row r="13" spans="2:9" x14ac:dyDescent="0.45">
      <c r="B13" s="48"/>
      <c r="C13" s="6" t="s">
        <v>35</v>
      </c>
      <c r="D13" s="9">
        <f>IF(D9&gt;0, (D12-D9)/D9, 0)</f>
        <v>0.21813031161473087</v>
      </c>
      <c r="E13" s="9">
        <f>IF(E9&gt;0, (E12-E9)/E9, 0)</f>
        <v>0.27134129955749836</v>
      </c>
      <c r="F13" s="9">
        <f>IF(F9&gt;0, (F12-F9)/F9, 0)</f>
        <v>0</v>
      </c>
      <c r="G13" s="9">
        <f>IF(G9&gt;0, (G12-G9)/G9, 0)</f>
        <v>0</v>
      </c>
      <c r="H13" s="9">
        <f>IF(H9&gt;0, (H12-H9)/H9, 0)</f>
        <v>0</v>
      </c>
      <c r="I13" s="9">
        <f>I14/I10</f>
        <v>0.24398345688754794</v>
      </c>
    </row>
    <row r="14" spans="2:9" x14ac:dyDescent="0.45">
      <c r="B14" s="48"/>
      <c r="C14" s="23" t="s">
        <v>13</v>
      </c>
      <c r="D14" s="38">
        <f>D10*D13</f>
        <v>30149658</v>
      </c>
      <c r="E14" s="38">
        <f>E10*E13</f>
        <v>35441640</v>
      </c>
      <c r="F14" s="38">
        <f>F10*F13</f>
        <v>0</v>
      </c>
      <c r="G14" s="38">
        <f>G10*G13</f>
        <v>0</v>
      </c>
      <c r="H14" s="38">
        <f>H10*H13</f>
        <v>0</v>
      </c>
      <c r="I14" s="38">
        <f>SUM(D14:G14)</f>
        <v>65591298</v>
      </c>
    </row>
    <row r="15" spans="2:9" x14ac:dyDescent="0.45">
      <c r="B15" s="48"/>
      <c r="C15" s="23" t="s">
        <v>33</v>
      </c>
      <c r="D15" s="38">
        <f>D7-D10</f>
        <v>49937698.800000012</v>
      </c>
      <c r="E15" s="38">
        <f>E7-E10</f>
        <v>10500735.599999994</v>
      </c>
      <c r="F15" s="38">
        <f>F7-F10</f>
        <v>0</v>
      </c>
      <c r="G15" s="38">
        <f>G7-G10</f>
        <v>0</v>
      </c>
      <c r="H15" s="38">
        <f>H7-H10</f>
        <v>23519532.600000001</v>
      </c>
      <c r="I15" s="24">
        <f>SUM(D15:G15)</f>
        <v>60438434.400000006</v>
      </c>
    </row>
    <row r="16" spans="2:9" ht="17.5" customHeight="1" x14ac:dyDescent="0.45">
      <c r="B16" s="48"/>
      <c r="C16" s="23" t="s">
        <v>36</v>
      </c>
      <c r="D16" s="24">
        <f t="shared" ref="D16:I16" si="0">IFERROR((D7-D10)/D12, 0)</f>
        <v>2150.6330232558144</v>
      </c>
      <c r="E16" s="24">
        <f t="shared" si="0"/>
        <v>73.985313887127418</v>
      </c>
      <c r="F16" s="24">
        <f t="shared" si="0"/>
        <v>0</v>
      </c>
      <c r="G16" s="24">
        <f t="shared" si="0"/>
        <v>0</v>
      </c>
      <c r="H16" s="24">
        <f t="shared" ref="H16" si="1">IFERROR((H7-H10)/H12, 0)</f>
        <v>203.63231688311689</v>
      </c>
      <c r="I16" s="38">
        <f t="shared" si="0"/>
        <v>0</v>
      </c>
    </row>
    <row r="17" spans="2:9" s="21" customFormat="1" ht="17.5" customHeight="1" x14ac:dyDescent="0.45">
      <c r="B17" s="47"/>
      <c r="C17" s="23" t="s">
        <v>37</v>
      </c>
      <c r="D17" s="32">
        <v>1</v>
      </c>
      <c r="E17" s="32">
        <v>1</v>
      </c>
      <c r="F17" s="32">
        <v>1</v>
      </c>
      <c r="G17" s="32">
        <v>0</v>
      </c>
      <c r="H17" s="32">
        <v>1</v>
      </c>
      <c r="I17" s="38"/>
    </row>
    <row r="18" spans="2:9" s="21" customFormat="1" ht="17.5" customHeight="1" x14ac:dyDescent="0.45">
      <c r="B18" s="47"/>
      <c r="C18" s="14">
        <v>0.4</v>
      </c>
      <c r="D18" s="24">
        <f>IF(D$17=1, D$16*Assets!$K5, -D$8*Assets!$K5)</f>
        <v>860.25320930232579</v>
      </c>
      <c r="E18" s="24">
        <f>IF(E$17=1, E$16*Assets!$K5, -E$8*Assets!$K5)</f>
        <v>29.594125554850969</v>
      </c>
      <c r="F18" s="24">
        <f>IF(F$17=1, F$16*Assets!$K5, -F$8*Assets!$K5)</f>
        <v>0</v>
      </c>
      <c r="G18" s="24">
        <f>IF(G$17=1, G$16*Assets!$K5, -G$8*Assets!$K5)</f>
        <v>0</v>
      </c>
      <c r="H18" s="24">
        <f>IF(H$17=1, H$16*Assets!$K5, -H$8*Assets!$K5)</f>
        <v>81.452926753246757</v>
      </c>
      <c r="I18" s="38"/>
    </row>
    <row r="19" spans="2:9" s="21" customFormat="1" ht="17.5" customHeight="1" x14ac:dyDescent="0.45">
      <c r="B19" s="47"/>
      <c r="C19" s="14">
        <v>0.3</v>
      </c>
      <c r="D19" s="24">
        <f>IF(D$17=1, D$16*Assets!$K6, -D$8*Assets!$K6)</f>
        <v>645.18990697674428</v>
      </c>
      <c r="E19" s="24">
        <f>IF(E$17=1, E$16*Assets!$K6, -E$8*Assets!$K6)</f>
        <v>22.195594166138225</v>
      </c>
      <c r="F19" s="24">
        <f>IF(F$17=1, F$16*Assets!$K6, -F$8*Assets!$K6)</f>
        <v>0</v>
      </c>
      <c r="G19" s="24">
        <f>IF(G$17=1, G$16*Assets!$K6, -G$8*Assets!$K6)</f>
        <v>0</v>
      </c>
      <c r="H19" s="24">
        <f>IF(H$17=1, H$16*Assets!$K6, -H$8*Assets!$K6)</f>
        <v>61.089695064935064</v>
      </c>
      <c r="I19" s="38"/>
    </row>
    <row r="20" spans="2:9" s="21" customFormat="1" ht="17.5" customHeight="1" x14ac:dyDescent="0.45">
      <c r="B20" s="47"/>
      <c r="C20" s="14">
        <v>0.2</v>
      </c>
      <c r="D20" s="24">
        <f>IF(D$17=1, D$16*Assets!$K7, -D$8*Assets!$K7)</f>
        <v>430.12660465116289</v>
      </c>
      <c r="E20" s="24">
        <f>IF(E$17=1, E$16*Assets!$K7, -E$8*Assets!$K7)</f>
        <v>14.797062777425484</v>
      </c>
      <c r="F20" s="24">
        <f>IF(F$17=1, F$16*Assets!$K7, -F$8*Assets!$K7)</f>
        <v>0</v>
      </c>
      <c r="G20" s="24">
        <f>IF(G$17=1, G$16*Assets!$K7, -G$8*Assets!$K7)</f>
        <v>0</v>
      </c>
      <c r="H20" s="24">
        <f>IF(H$17=1, H$16*Assets!$K7, -H$8*Assets!$K7)</f>
        <v>40.726463376623379</v>
      </c>
      <c r="I20" s="38"/>
    </row>
    <row r="21" spans="2:9" s="21" customFormat="1" ht="17.5" customHeight="1" x14ac:dyDescent="0.45">
      <c r="B21" s="47"/>
      <c r="C21" s="14">
        <v>0.1</v>
      </c>
      <c r="D21" s="24">
        <f>IF(D$17=1, D$16*Assets!$K8, -D$8*Assets!$K8)</f>
        <v>215.06330232558145</v>
      </c>
      <c r="E21" s="24">
        <f>IF(E$17=1, E$16*Assets!$K8, -E$8*Assets!$K8)</f>
        <v>7.3985313887127422</v>
      </c>
      <c r="F21" s="24">
        <f>IF(F$17=1, F$16*Assets!$K8, -F$8*Assets!$K8)</f>
        <v>0</v>
      </c>
      <c r="G21" s="24">
        <f>IF(G$17=1, G$16*Assets!$K8, -G$8*Assets!$K8)</f>
        <v>0</v>
      </c>
      <c r="H21" s="24">
        <f>IF(H$17=1, H$16*Assets!$K8, -H$8*Assets!$K8)</f>
        <v>20.363231688311689</v>
      </c>
      <c r="I21" s="38"/>
    </row>
    <row r="22" spans="2:9" s="21" customFormat="1" ht="17.5" customHeight="1" x14ac:dyDescent="0.45">
      <c r="C22" s="10"/>
      <c r="D22" s="39"/>
      <c r="E22" s="39"/>
      <c r="F22" s="39"/>
      <c r="G22" s="39"/>
      <c r="H22" s="39"/>
      <c r="I22" s="39"/>
    </row>
    <row r="23" spans="2:9" x14ac:dyDescent="0.45">
      <c r="B23" s="52" t="s">
        <v>38</v>
      </c>
      <c r="C23" s="6" t="s">
        <v>39</v>
      </c>
      <c r="D23" s="29">
        <f>D8+D16</f>
        <v>9401.6330232558139</v>
      </c>
      <c r="E23" s="29">
        <f>E8+E16</f>
        <v>1243.9853138871274</v>
      </c>
      <c r="F23" s="29">
        <f>F8+F16</f>
        <v>0</v>
      </c>
      <c r="G23" s="29">
        <f>G8+G16</f>
        <v>0</v>
      </c>
      <c r="H23" s="29">
        <f>H8+H16</f>
        <v>203.63231688311689</v>
      </c>
      <c r="I23" s="49" t="s">
        <v>40</v>
      </c>
    </row>
    <row r="24" spans="2:9" x14ac:dyDescent="0.45">
      <c r="B24" s="50"/>
      <c r="C24" s="6" t="s">
        <v>41</v>
      </c>
      <c r="D24" s="40">
        <f>IF(D10&gt;0,(((D8*D9)+(D16*D12))/(D8+D16)),0)</f>
        <v>20013.146687876244</v>
      </c>
      <c r="E24" s="40">
        <f>IF(E10&gt;0,(((E8*E9)+(E16*E12))/(E8+E16)),0)</f>
        <v>113439.59934627028</v>
      </c>
      <c r="F24" s="40">
        <f>IF(F10&gt;0,(((F8*F9)+(F16*F12))/(F8+F16)),0)</f>
        <v>0</v>
      </c>
      <c r="G24" s="40">
        <f>IF(G10&gt;0,(((G8*G9)+(G16*G12))/(G8+G16)),0)</f>
        <v>0</v>
      </c>
      <c r="H24" s="40">
        <f>IF(H10&gt;0,(((H8*H9)+(H16*H12))/(H8+H16)),0)</f>
        <v>0</v>
      </c>
      <c r="I24" s="51"/>
    </row>
    <row r="25" spans="2:9" ht="17.5" customHeight="1" x14ac:dyDescent="0.45">
      <c r="B25" s="51"/>
      <c r="C25" s="6" t="s">
        <v>4</v>
      </c>
      <c r="D25" s="24">
        <f>D23*D24</f>
        <v>188156260.80000001</v>
      </c>
      <c r="E25" s="24">
        <f>E23*E24</f>
        <v>141117195.59999999</v>
      </c>
      <c r="F25" s="24">
        <f>F23*F24</f>
        <v>0</v>
      </c>
      <c r="G25" s="24">
        <f>G23*G24</f>
        <v>0</v>
      </c>
      <c r="H25" s="24">
        <f>H23*H24</f>
        <v>0</v>
      </c>
      <c r="I25" s="41">
        <f>SUM(D25:G25)</f>
        <v>329273456.39999998</v>
      </c>
    </row>
    <row r="27" spans="2:9" x14ac:dyDescent="0.45">
      <c r="B27" s="52" t="s">
        <v>42</v>
      </c>
      <c r="C27" s="23" t="s">
        <v>43</v>
      </c>
      <c r="D27" s="15">
        <v>46161</v>
      </c>
      <c r="E27" s="15">
        <v>46148</v>
      </c>
      <c r="F27" s="16"/>
      <c r="G27" s="16"/>
      <c r="H27" s="16"/>
      <c r="I27" s="20">
        <f>I28/I$10</f>
        <v>3.547097371859534E-3</v>
      </c>
    </row>
    <row r="28" spans="2:9" x14ac:dyDescent="0.45">
      <c r="B28" s="51"/>
      <c r="C28" s="23" t="s">
        <v>44</v>
      </c>
      <c r="D28" s="59">
        <v>852679</v>
      </c>
      <c r="E28" s="59">
        <v>100905</v>
      </c>
      <c r="F28" s="59"/>
      <c r="G28" s="59"/>
      <c r="H28" s="59"/>
      <c r="I28" s="43">
        <f>SUM(D28:H28)</f>
        <v>953584</v>
      </c>
    </row>
    <row r="29" spans="2:9" x14ac:dyDescent="0.45">
      <c r="F29" s="42">
        <f>F18*F12</f>
        <v>0</v>
      </c>
    </row>
    <row r="30" spans="2:9" x14ac:dyDescent="0.45">
      <c r="E30" s="42"/>
    </row>
    <row r="32" spans="2:9" x14ac:dyDescent="0.45">
      <c r="E32" s="2"/>
    </row>
  </sheetData>
  <mergeCells count="8">
    <mergeCell ref="I2:I4"/>
    <mergeCell ref="B27:B28"/>
    <mergeCell ref="B23:B25"/>
    <mergeCell ref="B8:B11"/>
    <mergeCell ref="B12:B21"/>
    <mergeCell ref="I23:I24"/>
    <mergeCell ref="B2:B4"/>
    <mergeCell ref="B5:B7"/>
  </mergeCells>
  <phoneticPr fontId="4" type="noConversion"/>
  <conditionalFormatting sqref="D15">
    <cfRule type="expression" dxfId="34" priority="17">
      <formula>#REF!+C15&gt;0</formula>
    </cfRule>
  </conditionalFormatting>
  <conditionalFormatting sqref="D16:D22">
    <cfRule type="expression" dxfId="33" priority="22">
      <formula>#REF!+#REF!&gt;0</formula>
    </cfRule>
  </conditionalFormatting>
  <conditionalFormatting sqref="D13:I13">
    <cfRule type="expression" dxfId="32" priority="13" stopIfTrue="1">
      <formula>D13&gt;0</formula>
    </cfRule>
  </conditionalFormatting>
  <conditionalFormatting sqref="D13:I14">
    <cfRule type="expression" dxfId="31" priority="10">
      <formula>D13&lt;0</formula>
    </cfRule>
  </conditionalFormatting>
  <conditionalFormatting sqref="D14:I14">
    <cfRule type="expression" dxfId="30" priority="11">
      <formula>D14&gt;0</formula>
    </cfRule>
  </conditionalFormatting>
  <conditionalFormatting sqref="E16:E17 I16:I22">
    <cfRule type="expression" dxfId="29" priority="29">
      <formula>C16+#REF!&gt;0</formula>
    </cfRule>
  </conditionalFormatting>
  <conditionalFormatting sqref="E18:E21">
    <cfRule type="expression" dxfId="28" priority="7">
      <formula>#REF!+#REF!&gt;0</formula>
    </cfRule>
  </conditionalFormatting>
  <conditionalFormatting sqref="E22">
    <cfRule type="expression" dxfId="27" priority="62">
      <formula>C22+#REF!&gt;0</formula>
    </cfRule>
  </conditionalFormatting>
  <conditionalFormatting sqref="E15:I15">
    <cfRule type="expression" dxfId="26" priority="9">
      <formula>#REF!+D15&gt;0</formula>
    </cfRule>
  </conditionalFormatting>
  <conditionalFormatting sqref="F16:F21">
    <cfRule type="expression" dxfId="25" priority="4">
      <formula>#REF!+#REF!&gt;0</formula>
    </cfRule>
  </conditionalFormatting>
  <conditionalFormatting sqref="F22 H22">
    <cfRule type="expression" dxfId="24" priority="59">
      <formula>E22+#REF!&gt;0</formula>
    </cfRule>
  </conditionalFormatting>
  <conditionalFormatting sqref="G16:G22">
    <cfRule type="expression" dxfId="23" priority="5">
      <formula>#REF!+#REF!&gt;0</formula>
    </cfRule>
  </conditionalFormatting>
  <conditionalFormatting sqref="H16:H21">
    <cfRule type="expression" dxfId="21" priority="1">
      <formula>#REF!+#REF!&gt;0</formula>
    </cfRule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8"/>
  <sheetViews>
    <sheetView tabSelected="1" workbookViewId="0">
      <selection activeCell="E33" sqref="E33"/>
    </sheetView>
  </sheetViews>
  <sheetFormatPr defaultRowHeight="17" x14ac:dyDescent="0.45"/>
  <cols>
    <col min="1" max="1" width="3.33203125" style="22" customWidth="1"/>
    <col min="2" max="2" width="11" style="22" bestFit="1" customWidth="1"/>
    <col min="3" max="3" width="13" style="22" bestFit="1" customWidth="1"/>
    <col min="4" max="4" width="39" style="22" customWidth="1"/>
    <col min="5" max="5" width="34.33203125" style="22" customWidth="1"/>
    <col min="6" max="6" width="13.83203125" style="22" bestFit="1" customWidth="1"/>
  </cols>
  <sheetData>
    <row r="1" spans="2:6" ht="17.5" customHeight="1" x14ac:dyDescent="0.45"/>
    <row r="2" spans="2:6" x14ac:dyDescent="0.45">
      <c r="B2" s="53" t="s">
        <v>14</v>
      </c>
      <c r="C2" s="6" t="s">
        <v>15</v>
      </c>
      <c r="D2" s="5">
        <v>1</v>
      </c>
      <c r="E2" s="5">
        <v>2</v>
      </c>
      <c r="F2" s="49" t="s">
        <v>16</v>
      </c>
    </row>
    <row r="3" spans="2:6" x14ac:dyDescent="0.45">
      <c r="B3" s="50"/>
      <c r="C3" s="6" t="s">
        <v>17</v>
      </c>
      <c r="D3" s="11" t="s">
        <v>45</v>
      </c>
      <c r="E3" s="11" t="s">
        <v>46</v>
      </c>
      <c r="F3" s="50"/>
    </row>
    <row r="4" spans="2:6" ht="17.5" customHeight="1" x14ac:dyDescent="0.45">
      <c r="B4" s="51"/>
      <c r="C4" s="6" t="s">
        <v>21</v>
      </c>
      <c r="D4" s="7" t="s">
        <v>47</v>
      </c>
      <c r="E4" s="7" t="s">
        <v>48</v>
      </c>
      <c r="F4" s="51"/>
    </row>
    <row r="5" spans="2:6" x14ac:dyDescent="0.45">
      <c r="B5" s="53" t="s">
        <v>49</v>
      </c>
      <c r="C5" s="23" t="s">
        <v>26</v>
      </c>
      <c r="D5" s="28">
        <v>0.7</v>
      </c>
      <c r="E5" s="28">
        <v>0.3</v>
      </c>
      <c r="F5" s="19">
        <f>SUM(A5:E5)</f>
        <v>1</v>
      </c>
    </row>
    <row r="6" spans="2:6" ht="17.5" customHeight="1" x14ac:dyDescent="0.45">
      <c r="B6" s="50"/>
      <c r="C6" s="23" t="s">
        <v>27</v>
      </c>
      <c r="D6" s="28">
        <v>1</v>
      </c>
      <c r="E6" s="28">
        <v>1</v>
      </c>
      <c r="F6" s="19"/>
    </row>
    <row r="7" spans="2:6" ht="17.5" customHeight="1" x14ac:dyDescent="0.45">
      <c r="B7" s="51"/>
      <c r="C7" s="23" t="s">
        <v>28</v>
      </c>
      <c r="D7" s="29">
        <f>Assets!$E$6*(D5)*D6</f>
        <v>82561449.599999994</v>
      </c>
      <c r="E7" s="29">
        <f>Assets!$E$6*(E5)*E6</f>
        <v>35383478.399999999</v>
      </c>
      <c r="F7" s="33">
        <f>SUM(D7:E7)</f>
        <v>117944928</v>
      </c>
    </row>
    <row r="8" spans="2:6" ht="17.5" customHeight="1" x14ac:dyDescent="0.45">
      <c r="B8" s="53" t="s">
        <v>29</v>
      </c>
      <c r="C8" s="31" t="s">
        <v>30</v>
      </c>
      <c r="D8" s="58">
        <v>8568</v>
      </c>
      <c r="E8" s="58">
        <v>924</v>
      </c>
      <c r="F8" s="8"/>
    </row>
    <row r="9" spans="2:6" ht="17.5" customHeight="1" x14ac:dyDescent="0.45">
      <c r="B9" s="50"/>
      <c r="C9" s="31" t="s">
        <v>31</v>
      </c>
      <c r="D9" s="58">
        <v>9603</v>
      </c>
      <c r="E9" s="58">
        <v>38228</v>
      </c>
      <c r="F9" s="8"/>
    </row>
    <row r="10" spans="2:6" ht="17.5" customHeight="1" x14ac:dyDescent="0.45">
      <c r="B10" s="50"/>
      <c r="C10" s="6" t="s">
        <v>4</v>
      </c>
      <c r="D10" s="29">
        <f>D9*D8</f>
        <v>82278504</v>
      </c>
      <c r="E10" s="29">
        <f>E9*E8</f>
        <v>35322672</v>
      </c>
      <c r="F10" s="33">
        <f>SUM(D10:E10)</f>
        <v>117601176</v>
      </c>
    </row>
    <row r="11" spans="2:6" ht="17.5" customHeight="1" x14ac:dyDescent="0.45">
      <c r="B11" s="51"/>
      <c r="C11" s="23" t="s">
        <v>32</v>
      </c>
      <c r="D11" s="34">
        <f>IFERROR(D10/$F$10, 0)</f>
        <v>0.69964014645567829</v>
      </c>
      <c r="E11" s="34">
        <f>IFERROR(E10/$F$10, 0)</f>
        <v>0.30035985354432171</v>
      </c>
      <c r="F11" s="35">
        <f>SUM(D11:E11)</f>
        <v>1</v>
      </c>
    </row>
    <row r="12" spans="2:6" x14ac:dyDescent="0.45">
      <c r="B12" s="55" t="s">
        <v>33</v>
      </c>
      <c r="C12" s="23" t="s">
        <v>34</v>
      </c>
      <c r="D12" s="36">
        <v>10230</v>
      </c>
      <c r="E12" s="36">
        <v>43465</v>
      </c>
      <c r="F12" s="23"/>
    </row>
    <row r="13" spans="2:6" x14ac:dyDescent="0.45">
      <c r="B13" s="56"/>
      <c r="C13" s="6" t="s">
        <v>35</v>
      </c>
      <c r="D13" s="9">
        <f>IF(D9&gt;0, (D12-D9)/D9, 0)</f>
        <v>6.5292096219931275E-2</v>
      </c>
      <c r="E13" s="9">
        <f>IF(E9&gt;0, (E12-E9)/E9, 0)</f>
        <v>0.13699382651459663</v>
      </c>
      <c r="F13" s="9">
        <f>IFERROR(F14/F10, 0)</f>
        <v>8.682841743011141E-2</v>
      </c>
    </row>
    <row r="14" spans="2:6" x14ac:dyDescent="0.45">
      <c r="B14" s="56"/>
      <c r="C14" s="23" t="s">
        <v>13</v>
      </c>
      <c r="D14" s="38">
        <f>D10*D13</f>
        <v>5372136</v>
      </c>
      <c r="E14" s="38">
        <f>E10*E13</f>
        <v>4838988</v>
      </c>
      <c r="F14" s="38">
        <f>SUM(D14:E14)</f>
        <v>10211124</v>
      </c>
    </row>
    <row r="15" spans="2:6" x14ac:dyDescent="0.45">
      <c r="B15" s="56"/>
      <c r="C15" s="23" t="s">
        <v>50</v>
      </c>
      <c r="D15" s="24">
        <f>D7-D10</f>
        <v>282945.59999999404</v>
      </c>
      <c r="E15" s="24">
        <f>E7-E10</f>
        <v>60806.39999999851</v>
      </c>
      <c r="F15" s="24">
        <f>SUM(A15:D15)</f>
        <v>282945.59999999404</v>
      </c>
    </row>
    <row r="16" spans="2:6" ht="17.5" customHeight="1" x14ac:dyDescent="0.45">
      <c r="B16" s="56"/>
      <c r="C16" s="23" t="s">
        <v>36</v>
      </c>
      <c r="D16" s="38">
        <f>IFERROR((D7-D10)/D12, 0)</f>
        <v>27.658416422286809</v>
      </c>
      <c r="E16" s="38">
        <f>IFERROR((E7-E10)/E12, 0)</f>
        <v>1.3989738870355115</v>
      </c>
      <c r="F16" s="38">
        <f>IFERROR((F7-F10)/F12, 0)</f>
        <v>0</v>
      </c>
    </row>
    <row r="17" spans="2:6" s="21" customFormat="1" ht="17.5" customHeight="1" x14ac:dyDescent="0.45">
      <c r="B17" s="56"/>
      <c r="C17" s="23" t="s">
        <v>37</v>
      </c>
      <c r="D17" s="32">
        <v>1</v>
      </c>
      <c r="E17" s="32">
        <v>1</v>
      </c>
      <c r="F17" s="38"/>
    </row>
    <row r="18" spans="2:6" s="21" customFormat="1" ht="17.5" customHeight="1" x14ac:dyDescent="0.45">
      <c r="B18" s="56"/>
      <c r="C18" s="14">
        <v>0.4</v>
      </c>
      <c r="D18" s="24">
        <f>IF(D$17=1, D$16*Assets!$K5, -D$8*Assets!$K5)</f>
        <v>11.063366568914724</v>
      </c>
      <c r="E18" s="24">
        <f>IF(E$17=1, E$16*Assets!$K5, -E$8*Assets!$K5)</f>
        <v>0.55958955481420458</v>
      </c>
      <c r="F18" s="38"/>
    </row>
    <row r="19" spans="2:6" s="21" customFormat="1" ht="17.5" customHeight="1" x14ac:dyDescent="0.45">
      <c r="B19" s="56"/>
      <c r="C19" s="14">
        <v>0.3</v>
      </c>
      <c r="D19" s="24">
        <f>IF(D$17=1, D$16*Assets!$K6, -D$8*Assets!$K6)</f>
        <v>8.2975249266860427</v>
      </c>
      <c r="E19" s="24">
        <f>IF(E$17=1, E$16*Assets!$K6, -E$8*Assets!$K6)</f>
        <v>0.41969216611065346</v>
      </c>
      <c r="F19" s="38"/>
    </row>
    <row r="20" spans="2:6" s="21" customFormat="1" ht="17.5" customHeight="1" x14ac:dyDescent="0.45">
      <c r="B20" s="56"/>
      <c r="C20" s="14">
        <v>0.2</v>
      </c>
      <c r="D20" s="24">
        <f>IF(D$17=1, D$16*Assets!$K7, -D$8*Assets!$K7)</f>
        <v>5.5316832844573618</v>
      </c>
      <c r="E20" s="24">
        <f>IF(E$17=1, E$16*Assets!$K7, -E$8*Assets!$K7)</f>
        <v>0.27979477740710229</v>
      </c>
      <c r="F20" s="38"/>
    </row>
    <row r="21" spans="2:6" s="21" customFormat="1" ht="17.5" customHeight="1" x14ac:dyDescent="0.45">
      <c r="B21" s="56"/>
      <c r="C21" s="14">
        <v>0.1</v>
      </c>
      <c r="D21" s="24">
        <f>IF(D$17=1, D$16*Assets!$K8, -D$8*Assets!$K8)</f>
        <v>2.7658416422286809</v>
      </c>
      <c r="E21" s="24">
        <f>IF(E$17=1, E$16*Assets!$K8, -E$8*Assets!$K8)</f>
        <v>0.13989738870355115</v>
      </c>
      <c r="F21" s="38"/>
    </row>
    <row r="22" spans="2:6" s="21" customFormat="1" ht="17.5" customHeight="1" x14ac:dyDescent="0.45">
      <c r="C22" s="10"/>
      <c r="D22" s="39"/>
      <c r="E22" s="39"/>
      <c r="F22" s="39"/>
    </row>
    <row r="23" spans="2:6" x14ac:dyDescent="0.45">
      <c r="B23" s="52" t="s">
        <v>38</v>
      </c>
      <c r="C23" s="6" t="s">
        <v>39</v>
      </c>
      <c r="D23" s="29">
        <f>D8+D16</f>
        <v>8595.6584164222877</v>
      </c>
      <c r="E23" s="29">
        <f>E8+E16</f>
        <v>925.39897388703548</v>
      </c>
      <c r="F23" s="49" t="s">
        <v>40</v>
      </c>
    </row>
    <row r="24" spans="2:6" x14ac:dyDescent="0.45">
      <c r="B24" s="50"/>
      <c r="C24" s="6" t="s">
        <v>41</v>
      </c>
      <c r="D24" s="40">
        <f>IF(D10&gt;0,(((D8*D9)+(D16*D12))/(D8+D16)),0)</f>
        <v>9605.0175100331617</v>
      </c>
      <c r="E24" s="40">
        <f>IF(E10&gt;0,(((E8*E9)+(E16*E12))/(E8+E16)),0)</f>
        <v>38235.91704600193</v>
      </c>
      <c r="F24" s="51"/>
    </row>
    <row r="25" spans="2:6" ht="17.5" customHeight="1" x14ac:dyDescent="0.45">
      <c r="B25" s="51"/>
      <c r="C25" s="23" t="s">
        <v>51</v>
      </c>
      <c r="D25" s="44">
        <f>D23*D24</f>
        <v>82561449.599999994</v>
      </c>
      <c r="E25" s="44">
        <f>E23*E24</f>
        <v>35383478.399999999</v>
      </c>
      <c r="F25" s="41">
        <f>SUM(D25:E25)</f>
        <v>117944928</v>
      </c>
    </row>
    <row r="27" spans="2:6" x14ac:dyDescent="0.45">
      <c r="B27" s="52" t="s">
        <v>42</v>
      </c>
      <c r="C27" s="23" t="s">
        <v>43</v>
      </c>
      <c r="D27" s="15">
        <v>46148</v>
      </c>
      <c r="E27" s="15">
        <v>46148</v>
      </c>
      <c r="F27" s="20">
        <f>F28/F$10</f>
        <v>1.2544985094366743E-2</v>
      </c>
    </row>
    <row r="28" spans="2:6" x14ac:dyDescent="0.45">
      <c r="B28" s="51"/>
      <c r="C28" s="23" t="s">
        <v>44</v>
      </c>
      <c r="D28" s="24">
        <v>1434641</v>
      </c>
      <c r="E28" s="24">
        <v>40664</v>
      </c>
      <c r="F28" s="43">
        <f>SUM(D28:E28)</f>
        <v>1475305</v>
      </c>
    </row>
  </sheetData>
  <mergeCells count="8">
    <mergeCell ref="B27:B28"/>
    <mergeCell ref="B23:B25"/>
    <mergeCell ref="B5:B7"/>
    <mergeCell ref="B8:B11"/>
    <mergeCell ref="F2:F4"/>
    <mergeCell ref="B12:B21"/>
    <mergeCell ref="F23:F24"/>
    <mergeCell ref="B2:B4"/>
  </mergeCells>
  <phoneticPr fontId="4" type="noConversion"/>
  <conditionalFormatting sqref="D17:D21">
    <cfRule type="expression" dxfId="20" priority="2">
      <formula>#REF!+#REF!&gt;0</formula>
    </cfRule>
  </conditionalFormatting>
  <conditionalFormatting sqref="D13:F13">
    <cfRule type="expression" dxfId="19" priority="6" stopIfTrue="1">
      <formula>D13&gt;0</formula>
    </cfRule>
  </conditionalFormatting>
  <conditionalFormatting sqref="D13:F14">
    <cfRule type="expression" dxfId="18" priority="4">
      <formula>D13&lt;0</formula>
    </cfRule>
  </conditionalFormatting>
  <conditionalFormatting sqref="D14:F14">
    <cfRule type="expression" dxfId="17" priority="14">
      <formula>D14&gt;0</formula>
    </cfRule>
  </conditionalFormatting>
  <conditionalFormatting sqref="D15:F15">
    <cfRule type="expression" dxfId="16" priority="10">
      <formula>#REF!+C15&gt;0</formula>
    </cfRule>
  </conditionalFormatting>
  <conditionalFormatting sqref="D16:F16 F17:F21 D22:F22">
    <cfRule type="expression" dxfId="15" priority="9">
      <formula>B16+#REF!&gt;0</formula>
    </cfRule>
  </conditionalFormatting>
  <conditionalFormatting sqref="E17">
    <cfRule type="expression" dxfId="14" priority="3">
      <formula>C17+#REF!&gt;0</formula>
    </cfRule>
  </conditionalFormatting>
  <conditionalFormatting sqref="E18:E21">
    <cfRule type="expression" dxfId="13" priority="1">
      <formula>#REF!+#REF!&gt;0</formula>
    </cfRule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F28"/>
  <sheetViews>
    <sheetView workbookViewId="0">
      <selection activeCell="D34" sqref="D34"/>
    </sheetView>
  </sheetViews>
  <sheetFormatPr defaultRowHeight="17" x14ac:dyDescent="0.45"/>
  <cols>
    <col min="1" max="1" width="3.6640625" style="22" customWidth="1"/>
    <col min="2" max="2" width="11" style="22" bestFit="1" customWidth="1"/>
    <col min="3" max="3" width="13" style="22" bestFit="1" customWidth="1"/>
    <col min="4" max="4" width="31.9140625" style="22" bestFit="1" customWidth="1"/>
    <col min="5" max="5" width="26.9140625" style="22" customWidth="1"/>
    <col min="6" max="6" width="12.6640625" style="22" bestFit="1" customWidth="1"/>
  </cols>
  <sheetData>
    <row r="2" spans="2:6" x14ac:dyDescent="0.45">
      <c r="B2" s="53" t="s">
        <v>14</v>
      </c>
      <c r="C2" s="6" t="s">
        <v>15</v>
      </c>
      <c r="D2" s="5">
        <v>1</v>
      </c>
      <c r="E2" s="5">
        <v>2</v>
      </c>
      <c r="F2" s="49" t="s">
        <v>16</v>
      </c>
    </row>
    <row r="3" spans="2:6" x14ac:dyDescent="0.45">
      <c r="B3" s="50"/>
      <c r="C3" s="6" t="s">
        <v>17</v>
      </c>
      <c r="D3" s="11" t="s">
        <v>52</v>
      </c>
      <c r="E3" s="12"/>
      <c r="F3" s="50"/>
    </row>
    <row r="4" spans="2:6" x14ac:dyDescent="0.45">
      <c r="B4" s="51"/>
      <c r="C4" s="6" t="s">
        <v>21</v>
      </c>
      <c r="D4" s="7" t="s">
        <v>53</v>
      </c>
      <c r="E4" s="7"/>
      <c r="F4" s="51"/>
    </row>
    <row r="5" spans="2:6" x14ac:dyDescent="0.45">
      <c r="B5" s="53" t="s">
        <v>49</v>
      </c>
      <c r="C5" s="23" t="s">
        <v>26</v>
      </c>
      <c r="D5" s="28">
        <v>1</v>
      </c>
      <c r="E5" s="28"/>
      <c r="F5" s="19">
        <f>SUM(A5:E5)</f>
        <v>1</v>
      </c>
    </row>
    <row r="6" spans="2:6" x14ac:dyDescent="0.45">
      <c r="B6" s="50"/>
      <c r="C6" s="23" t="s">
        <v>27</v>
      </c>
      <c r="D6" s="28">
        <v>1</v>
      </c>
      <c r="E6" s="28"/>
      <c r="F6" s="19"/>
    </row>
    <row r="7" spans="2:6" x14ac:dyDescent="0.45">
      <c r="B7" s="51"/>
      <c r="C7" s="23" t="s">
        <v>28</v>
      </c>
      <c r="D7" s="29">
        <f>Assets!$E$7*(D5)*D6</f>
        <v>13781026</v>
      </c>
      <c r="E7" s="29">
        <f>Assets!$E$5*(E5)*E6</f>
        <v>0</v>
      </c>
      <c r="F7" s="33">
        <f>SUM(A7:D7)</f>
        <v>13781026</v>
      </c>
    </row>
    <row r="8" spans="2:6" x14ac:dyDescent="0.45">
      <c r="B8" s="53" t="s">
        <v>29</v>
      </c>
      <c r="C8" s="31" t="s">
        <v>30</v>
      </c>
      <c r="D8" s="32">
        <v>1729</v>
      </c>
      <c r="E8" s="32"/>
      <c r="F8" s="8"/>
    </row>
    <row r="9" spans="2:6" x14ac:dyDescent="0.45">
      <c r="B9" s="50"/>
      <c r="C9" s="31" t="s">
        <v>31</v>
      </c>
      <c r="D9" s="32">
        <v>8019</v>
      </c>
      <c r="E9" s="32"/>
      <c r="F9" s="8"/>
    </row>
    <row r="10" spans="2:6" x14ac:dyDescent="0.45">
      <c r="B10" s="50"/>
      <c r="C10" s="6" t="s">
        <v>4</v>
      </c>
      <c r="D10" s="29">
        <f>D9*D8</f>
        <v>13864851</v>
      </c>
      <c r="E10" s="29">
        <f>E9*E8</f>
        <v>0</v>
      </c>
      <c r="F10" s="33">
        <f>SUM(A10:D10)</f>
        <v>13864851</v>
      </c>
    </row>
    <row r="11" spans="2:6" x14ac:dyDescent="0.45">
      <c r="B11" s="51"/>
      <c r="C11" s="23" t="s">
        <v>32</v>
      </c>
      <c r="D11" s="34">
        <f>IFERROR(D10/$F$10, 0)</f>
        <v>1</v>
      </c>
      <c r="E11" s="34">
        <f>IFERROR(E10/$F$10, 0)</f>
        <v>0</v>
      </c>
      <c r="F11" s="35">
        <f>SUM(A11:D11)</f>
        <v>1</v>
      </c>
    </row>
    <row r="12" spans="2:6" x14ac:dyDescent="0.45">
      <c r="B12" s="55" t="s">
        <v>33</v>
      </c>
      <c r="C12" s="23" t="s">
        <v>34</v>
      </c>
      <c r="D12" s="36">
        <v>7970</v>
      </c>
      <c r="E12" s="45"/>
      <c r="F12" s="23"/>
    </row>
    <row r="13" spans="2:6" x14ac:dyDescent="0.45">
      <c r="B13" s="56"/>
      <c r="C13" s="6" t="s">
        <v>35</v>
      </c>
      <c r="D13" s="9">
        <f>IF(D9&gt;0, (D12-D9)/D9, 0)</f>
        <v>-6.1104875919690731E-3</v>
      </c>
      <c r="E13" s="9">
        <f>IF(E9&gt;0, (E12-E9)/E9, 0)</f>
        <v>0</v>
      </c>
      <c r="F13" s="9">
        <f>IFERROR(F14/F10, 0)</f>
        <v>-6.1104875919690731E-3</v>
      </c>
    </row>
    <row r="14" spans="2:6" x14ac:dyDescent="0.45">
      <c r="B14" s="56"/>
      <c r="C14" s="23" t="s">
        <v>13</v>
      </c>
      <c r="D14" s="38">
        <f>D10*D13</f>
        <v>-84721</v>
      </c>
      <c r="E14" s="38">
        <f>E10*E13</f>
        <v>0</v>
      </c>
      <c r="F14" s="38">
        <f>SUM(A14:D14)</f>
        <v>-84721</v>
      </c>
    </row>
    <row r="15" spans="2:6" x14ac:dyDescent="0.45">
      <c r="B15" s="56"/>
      <c r="C15" s="23" t="s">
        <v>50</v>
      </c>
      <c r="D15" s="24">
        <f>D7-D10</f>
        <v>-83825</v>
      </c>
      <c r="E15" s="24">
        <f>E7-E10</f>
        <v>0</v>
      </c>
      <c r="F15" s="24">
        <f>SUM(A15:D15)</f>
        <v>-83825</v>
      </c>
    </row>
    <row r="16" spans="2:6" x14ac:dyDescent="0.45">
      <c r="B16" s="56"/>
      <c r="C16" s="23" t="s">
        <v>36</v>
      </c>
      <c r="D16" s="38">
        <f>IFERROR((D7-D10)/D12, 0)</f>
        <v>-10.517565872020075</v>
      </c>
      <c r="E16" s="38">
        <f>IFERROR((E7-E10)/E12, 0)</f>
        <v>0</v>
      </c>
      <c r="F16" s="38">
        <f>IFERROR((F7-F10)/F12, 0)</f>
        <v>0</v>
      </c>
    </row>
    <row r="17" spans="2:6" s="21" customFormat="1" x14ac:dyDescent="0.45">
      <c r="B17" s="56"/>
      <c r="C17" s="23" t="s">
        <v>37</v>
      </c>
      <c r="D17" s="32">
        <v>1</v>
      </c>
      <c r="E17" s="32">
        <v>1</v>
      </c>
      <c r="F17" s="38"/>
    </row>
    <row r="18" spans="2:6" s="21" customFormat="1" x14ac:dyDescent="0.45">
      <c r="B18" s="56"/>
      <c r="C18" s="14">
        <v>0.4</v>
      </c>
      <c r="D18" s="24">
        <f>IF(D$17=1, D$16*Assets!$K5, -D$8*Assets!$K5)</f>
        <v>-4.2070263488080304</v>
      </c>
      <c r="E18" s="24">
        <f>IF(E$17=1, E$16*Assets!$K5, -E$8*Assets!$K5)</f>
        <v>0</v>
      </c>
      <c r="F18" s="38"/>
    </row>
    <row r="19" spans="2:6" s="21" customFormat="1" x14ac:dyDescent="0.45">
      <c r="B19" s="56"/>
      <c r="C19" s="14">
        <v>0.3</v>
      </c>
      <c r="D19" s="24">
        <f>IF(D$17=1, D$16*Assets!$K6, -D$8*Assets!$K6)</f>
        <v>-3.1552697616060223</v>
      </c>
      <c r="E19" s="24">
        <f>IF(E$17=1, E$16*Assets!$K6, -E$8*Assets!$K6)</f>
        <v>0</v>
      </c>
      <c r="F19" s="38"/>
    </row>
    <row r="20" spans="2:6" s="21" customFormat="1" x14ac:dyDescent="0.45">
      <c r="B20" s="56"/>
      <c r="C20" s="14">
        <v>0.2</v>
      </c>
      <c r="D20" s="24">
        <f>IF(D$17=1, D$16*Assets!$K7, -D$8*Assets!$K7)</f>
        <v>-2.1035131744040152</v>
      </c>
      <c r="E20" s="24">
        <f>IF(E$17=1, E$16*Assets!$K7, -E$8*Assets!$K7)</f>
        <v>0</v>
      </c>
      <c r="F20" s="38"/>
    </row>
    <row r="21" spans="2:6" s="21" customFormat="1" x14ac:dyDescent="0.45">
      <c r="B21" s="56"/>
      <c r="C21" s="14">
        <v>0.1</v>
      </c>
      <c r="D21" s="24">
        <f>IF(D$17=1, D$16*Assets!$K8, -D$8*Assets!$K8)</f>
        <v>-1.0517565872020076</v>
      </c>
      <c r="E21" s="24">
        <f>IF(E$17=1, E$16*Assets!$K8, -E$8*Assets!$K8)</f>
        <v>0</v>
      </c>
      <c r="F21" s="38"/>
    </row>
    <row r="22" spans="2:6" s="21" customFormat="1" x14ac:dyDescent="0.45">
      <c r="C22" s="10"/>
      <c r="D22" s="39"/>
      <c r="E22" s="39"/>
      <c r="F22" s="39"/>
    </row>
    <row r="23" spans="2:6" x14ac:dyDescent="0.45">
      <c r="B23" s="52" t="s">
        <v>38</v>
      </c>
      <c r="C23" s="6" t="s">
        <v>39</v>
      </c>
      <c r="D23" s="29">
        <f>D8+D16</f>
        <v>1718.48243412798</v>
      </c>
      <c r="E23" s="29">
        <f>E8+E16</f>
        <v>0</v>
      </c>
      <c r="F23" s="49" t="s">
        <v>40</v>
      </c>
    </row>
    <row r="24" spans="2:6" x14ac:dyDescent="0.45">
      <c r="B24" s="50"/>
      <c r="C24" s="6" t="s">
        <v>41</v>
      </c>
      <c r="D24" s="40">
        <f>IF(D10&gt;0,(((D8*D9)+(D16*D12))/(D8+D16)),0)</f>
        <v>8019.2998929273253</v>
      </c>
      <c r="E24" s="40">
        <f>IF(E10&gt;0,(((E8*E9)+(E16*E12))/(E8+E16)),0)</f>
        <v>0</v>
      </c>
      <c r="F24" s="51"/>
    </row>
    <row r="25" spans="2:6" x14ac:dyDescent="0.45">
      <c r="B25" s="51"/>
      <c r="C25" s="23" t="s">
        <v>51</v>
      </c>
      <c r="D25" s="44">
        <f>D23*D24</f>
        <v>13781026</v>
      </c>
      <c r="E25" s="44">
        <f>E23*E24</f>
        <v>0</v>
      </c>
      <c r="F25" s="41">
        <f>SUM(A25:D25)</f>
        <v>13781026</v>
      </c>
    </row>
    <row r="27" spans="2:6" x14ac:dyDescent="0.45">
      <c r="B27" s="52" t="s">
        <v>42</v>
      </c>
      <c r="C27" s="23" t="s">
        <v>43</v>
      </c>
      <c r="D27" s="15">
        <v>46148</v>
      </c>
      <c r="E27" s="15"/>
      <c r="F27" s="20">
        <f>F28/F$10</f>
        <v>7.7570253008849496E-3</v>
      </c>
    </row>
    <row r="28" spans="2:6" x14ac:dyDescent="0.45">
      <c r="B28" s="51"/>
      <c r="C28" s="23" t="s">
        <v>44</v>
      </c>
      <c r="D28" s="24">
        <v>107550</v>
      </c>
      <c r="E28" s="24"/>
      <c r="F28" s="43">
        <f>SUM(D28:E28)</f>
        <v>107550</v>
      </c>
    </row>
  </sheetData>
  <mergeCells count="8">
    <mergeCell ref="B27:B28"/>
    <mergeCell ref="B23:B25"/>
    <mergeCell ref="B8:B11"/>
    <mergeCell ref="F23:F24"/>
    <mergeCell ref="F2:F4"/>
    <mergeCell ref="B12:B21"/>
    <mergeCell ref="B2:B4"/>
    <mergeCell ref="B5:B7"/>
  </mergeCells>
  <phoneticPr fontId="4" type="noConversion"/>
  <conditionalFormatting sqref="D17:D21">
    <cfRule type="expression" dxfId="12" priority="2">
      <formula>#REF!+#REF!&gt;0</formula>
    </cfRule>
  </conditionalFormatting>
  <conditionalFormatting sqref="D13:E13">
    <cfRule type="expression" dxfId="11" priority="16" stopIfTrue="1">
      <formula>D13&gt;0</formula>
    </cfRule>
  </conditionalFormatting>
  <conditionalFormatting sqref="D13:E14">
    <cfRule type="expression" dxfId="10" priority="13">
      <formula>D13&lt;0</formula>
    </cfRule>
  </conditionalFormatting>
  <conditionalFormatting sqref="D14:E14">
    <cfRule type="expression" dxfId="9" priority="14">
      <formula>D14&gt;0</formula>
    </cfRule>
  </conditionalFormatting>
  <conditionalFormatting sqref="D15:F15">
    <cfRule type="expression" dxfId="8" priority="10">
      <formula>#REF!+C15&gt;0</formula>
    </cfRule>
  </conditionalFormatting>
  <conditionalFormatting sqref="D16:F16 D22:F22">
    <cfRule type="expression" dxfId="7" priority="9">
      <formula>B16+#REF!&gt;0</formula>
    </cfRule>
  </conditionalFormatting>
  <conditionalFormatting sqref="E17">
    <cfRule type="expression" dxfId="6" priority="3">
      <formula>C17+#REF!&gt;0</formula>
    </cfRule>
  </conditionalFormatting>
  <conditionalFormatting sqref="E18:E21">
    <cfRule type="expression" dxfId="5" priority="1">
      <formula>#REF!+#REF!&gt;0</formula>
    </cfRule>
  </conditionalFormatting>
  <conditionalFormatting sqref="F13">
    <cfRule type="expression" dxfId="4" priority="5">
      <formula>F13&lt;0</formula>
    </cfRule>
    <cfRule type="expression" dxfId="3" priority="6" stopIfTrue="1">
      <formula>F13&gt;0</formula>
    </cfRule>
  </conditionalFormatting>
  <conditionalFormatting sqref="F14">
    <cfRule type="expression" dxfId="2" priority="7">
      <formula>E14&lt;0</formula>
    </cfRule>
    <cfRule type="expression" dxfId="1" priority="8">
      <formula>E14&gt;0</formula>
    </cfRule>
  </conditionalFormatting>
  <conditionalFormatting sqref="F17:F21">
    <cfRule type="expression" dxfId="0" priority="4">
      <formula>D17+#REF!&gt;0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Assets</vt:lpstr>
      <vt:lpstr>CMA</vt:lpstr>
      <vt:lpstr>개인연금</vt:lpstr>
      <vt:lpstr>퇴직연금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TAEHO HWANG</dc:creator>
  <cp:lastModifiedBy>TAEHO HWANG</cp:lastModifiedBy>
  <cp:revision>2</cp:revision>
  <cp:lastPrinted>2026-01-22T00:39:54Z</cp:lastPrinted>
  <dcterms:created xsi:type="dcterms:W3CDTF">2020-03-30T01:06:52Z</dcterms:created>
  <dcterms:modified xsi:type="dcterms:W3CDTF">2026-05-07T06:35:57Z</dcterms:modified>
  <cp:version>1300.0100.01</cp:version>
</cp:coreProperties>
</file>